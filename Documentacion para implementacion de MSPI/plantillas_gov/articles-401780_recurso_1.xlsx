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mendoza\Downloads\"/>
    </mc:Choice>
  </mc:AlternateContent>
  <xr:revisionPtr revIDLastSave="0" documentId="13_ncr:1_{38A852CD-9B5B-415E-922E-08E2A4D3BC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Activos" sheetId="1" r:id="rId1"/>
  </sheets>
  <definedNames>
    <definedName name="_xlnm._FilterDatabase" localSheetId="0" hidden="1">'Inventario Activos'!$B$13:$AM$161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M4kaPDT+KNoBXj4aZXbHFt6uyPLsery7UELFGdegks="/>
    </ext>
  </extLst>
</workbook>
</file>

<file path=xl/calcChain.xml><?xml version="1.0" encoding="utf-8"?>
<calcChain xmlns="http://schemas.openxmlformats.org/spreadsheetml/2006/main">
  <c r="X161" i="1" l="1"/>
  <c r="V161" i="1"/>
  <c r="T161" i="1"/>
  <c r="X160" i="1"/>
  <c r="V160" i="1"/>
  <c r="T160" i="1"/>
  <c r="X159" i="1"/>
  <c r="V159" i="1"/>
  <c r="T159" i="1"/>
  <c r="X158" i="1"/>
  <c r="V158" i="1"/>
  <c r="T158" i="1"/>
  <c r="X157" i="1"/>
  <c r="V157" i="1"/>
  <c r="T157" i="1"/>
  <c r="X156" i="1"/>
  <c r="V156" i="1"/>
  <c r="T156" i="1"/>
  <c r="X155" i="1"/>
  <c r="V155" i="1"/>
  <c r="T155" i="1"/>
  <c r="X154" i="1"/>
  <c r="V154" i="1"/>
  <c r="T154" i="1"/>
  <c r="X153" i="1"/>
  <c r="V153" i="1"/>
  <c r="T153" i="1"/>
  <c r="X152" i="1"/>
  <c r="V152" i="1"/>
  <c r="T152" i="1"/>
  <c r="X151" i="1"/>
  <c r="V151" i="1"/>
  <c r="T151" i="1"/>
  <c r="X150" i="1"/>
  <c r="V150" i="1"/>
  <c r="T150" i="1"/>
  <c r="X149" i="1"/>
  <c r="V149" i="1"/>
  <c r="T149" i="1"/>
  <c r="X148" i="1"/>
  <c r="V148" i="1"/>
  <c r="T148" i="1"/>
  <c r="X147" i="1"/>
  <c r="V147" i="1"/>
  <c r="T147" i="1"/>
  <c r="X146" i="1"/>
  <c r="V146" i="1"/>
  <c r="T146" i="1"/>
  <c r="X145" i="1"/>
  <c r="V145" i="1"/>
  <c r="T145" i="1"/>
  <c r="X144" i="1"/>
  <c r="V144" i="1"/>
  <c r="T144" i="1"/>
  <c r="X143" i="1"/>
  <c r="V143" i="1"/>
  <c r="T143" i="1"/>
  <c r="X142" i="1"/>
  <c r="V142" i="1"/>
  <c r="T142" i="1"/>
  <c r="X141" i="1"/>
  <c r="V141" i="1"/>
  <c r="T141" i="1"/>
  <c r="X140" i="1"/>
  <c r="V140" i="1"/>
  <c r="T140" i="1"/>
  <c r="X139" i="1"/>
  <c r="V139" i="1"/>
  <c r="T139" i="1"/>
  <c r="X138" i="1"/>
  <c r="V138" i="1"/>
  <c r="T138" i="1"/>
  <c r="X137" i="1"/>
  <c r="V137" i="1"/>
  <c r="T137" i="1"/>
  <c r="X136" i="1"/>
  <c r="V136" i="1"/>
  <c r="T136" i="1"/>
  <c r="X135" i="1"/>
  <c r="V135" i="1"/>
  <c r="T135" i="1"/>
  <c r="X134" i="1"/>
  <c r="V134" i="1"/>
  <c r="T134" i="1"/>
  <c r="X133" i="1"/>
  <c r="V133" i="1"/>
  <c r="T133" i="1"/>
  <c r="X132" i="1"/>
  <c r="V132" i="1"/>
  <c r="T132" i="1"/>
  <c r="X131" i="1"/>
  <c r="V131" i="1"/>
  <c r="T131" i="1"/>
  <c r="X130" i="1"/>
  <c r="V130" i="1"/>
  <c r="T130" i="1"/>
  <c r="X129" i="1"/>
  <c r="V129" i="1"/>
  <c r="T129" i="1"/>
  <c r="X128" i="1"/>
  <c r="V128" i="1"/>
  <c r="T128" i="1"/>
  <c r="X127" i="1"/>
  <c r="V127" i="1"/>
  <c r="T127" i="1"/>
  <c r="X126" i="1"/>
  <c r="V126" i="1"/>
  <c r="T126" i="1"/>
  <c r="Y125" i="1"/>
  <c r="X125" i="1"/>
  <c r="V125" i="1"/>
  <c r="T125" i="1"/>
  <c r="X124" i="1"/>
  <c r="V124" i="1"/>
  <c r="T124" i="1"/>
  <c r="X123" i="1"/>
  <c r="V123" i="1"/>
  <c r="T123" i="1"/>
  <c r="X122" i="1"/>
  <c r="V122" i="1"/>
  <c r="T122" i="1"/>
  <c r="X121" i="1"/>
  <c r="V121" i="1"/>
  <c r="T121" i="1"/>
  <c r="X120" i="1"/>
  <c r="V120" i="1"/>
  <c r="T120" i="1"/>
  <c r="X119" i="1"/>
  <c r="V119" i="1"/>
  <c r="T119" i="1"/>
  <c r="X118" i="1"/>
  <c r="V118" i="1"/>
  <c r="T118" i="1"/>
  <c r="X117" i="1"/>
  <c r="V117" i="1"/>
  <c r="T117" i="1"/>
  <c r="X116" i="1"/>
  <c r="V116" i="1"/>
  <c r="T116" i="1"/>
  <c r="X115" i="1"/>
  <c r="V115" i="1"/>
  <c r="T115" i="1"/>
  <c r="X114" i="1"/>
  <c r="V114" i="1"/>
  <c r="T114" i="1"/>
  <c r="X113" i="1"/>
  <c r="V113" i="1"/>
  <c r="T113" i="1"/>
  <c r="X112" i="1"/>
  <c r="V112" i="1"/>
  <c r="T112" i="1"/>
  <c r="X111" i="1"/>
  <c r="V111" i="1"/>
  <c r="T111" i="1"/>
  <c r="X110" i="1"/>
  <c r="V110" i="1"/>
  <c r="T110" i="1"/>
  <c r="X109" i="1"/>
  <c r="V109" i="1"/>
  <c r="T109" i="1"/>
  <c r="X108" i="1"/>
  <c r="V108" i="1"/>
  <c r="T108" i="1"/>
  <c r="X107" i="1"/>
  <c r="V107" i="1"/>
  <c r="T107" i="1"/>
  <c r="X106" i="1"/>
  <c r="V106" i="1"/>
  <c r="T106" i="1"/>
  <c r="X105" i="1"/>
  <c r="V105" i="1"/>
  <c r="T105" i="1"/>
  <c r="X104" i="1"/>
  <c r="V104" i="1"/>
  <c r="T104" i="1"/>
  <c r="X103" i="1"/>
  <c r="V103" i="1"/>
  <c r="T103" i="1"/>
  <c r="X102" i="1"/>
  <c r="V102" i="1"/>
  <c r="T102" i="1"/>
  <c r="X101" i="1"/>
  <c r="V101" i="1"/>
  <c r="T101" i="1"/>
  <c r="X100" i="1"/>
  <c r="V100" i="1"/>
  <c r="T100" i="1"/>
  <c r="X99" i="1"/>
  <c r="V99" i="1"/>
  <c r="T99" i="1"/>
  <c r="X98" i="1"/>
  <c r="V98" i="1"/>
  <c r="T98" i="1"/>
  <c r="X97" i="1"/>
  <c r="V97" i="1"/>
  <c r="T97" i="1"/>
  <c r="X96" i="1"/>
  <c r="V96" i="1"/>
  <c r="T96" i="1"/>
  <c r="X95" i="1"/>
  <c r="V95" i="1"/>
  <c r="T95" i="1"/>
  <c r="X94" i="1"/>
  <c r="V94" i="1"/>
  <c r="T94" i="1"/>
  <c r="X93" i="1"/>
  <c r="V93" i="1"/>
  <c r="T93" i="1"/>
  <c r="X92" i="1"/>
  <c r="V92" i="1"/>
  <c r="T92" i="1"/>
  <c r="X91" i="1"/>
  <c r="V91" i="1"/>
  <c r="T91" i="1"/>
  <c r="X90" i="1"/>
  <c r="V90" i="1"/>
  <c r="T90" i="1"/>
  <c r="X89" i="1"/>
  <c r="V89" i="1"/>
  <c r="T89" i="1"/>
  <c r="X88" i="1"/>
  <c r="V88" i="1"/>
  <c r="T88" i="1"/>
  <c r="X87" i="1"/>
  <c r="V87" i="1"/>
  <c r="T87" i="1"/>
  <c r="X86" i="1"/>
  <c r="V86" i="1"/>
  <c r="T86" i="1"/>
  <c r="X85" i="1"/>
  <c r="V85" i="1"/>
  <c r="T85" i="1"/>
  <c r="X84" i="1"/>
  <c r="V84" i="1"/>
  <c r="T84" i="1"/>
  <c r="X83" i="1"/>
  <c r="V83" i="1"/>
  <c r="T83" i="1"/>
  <c r="X82" i="1"/>
  <c r="V82" i="1"/>
  <c r="T82" i="1"/>
  <c r="X81" i="1"/>
  <c r="V81" i="1"/>
  <c r="T81" i="1"/>
  <c r="X80" i="1"/>
  <c r="V80" i="1"/>
  <c r="T80" i="1"/>
  <c r="X79" i="1"/>
  <c r="V79" i="1"/>
  <c r="T79" i="1"/>
  <c r="X78" i="1"/>
  <c r="V78" i="1"/>
  <c r="T78" i="1"/>
  <c r="X77" i="1"/>
  <c r="V77" i="1"/>
  <c r="T77" i="1"/>
  <c r="X76" i="1"/>
  <c r="V76" i="1"/>
  <c r="T76" i="1"/>
  <c r="X75" i="1"/>
  <c r="V75" i="1"/>
  <c r="T75" i="1"/>
  <c r="X74" i="1"/>
  <c r="V74" i="1"/>
  <c r="T74" i="1"/>
  <c r="X73" i="1"/>
  <c r="V73" i="1"/>
  <c r="T73" i="1"/>
  <c r="X72" i="1"/>
  <c r="V72" i="1"/>
  <c r="T72" i="1"/>
  <c r="X71" i="1"/>
  <c r="V71" i="1"/>
  <c r="T71" i="1"/>
  <c r="X70" i="1"/>
  <c r="V70" i="1"/>
  <c r="T70" i="1"/>
  <c r="X69" i="1"/>
  <c r="V69" i="1"/>
  <c r="T69" i="1"/>
  <c r="X68" i="1"/>
  <c r="V68" i="1"/>
  <c r="T68" i="1"/>
  <c r="X67" i="1"/>
  <c r="V67" i="1"/>
  <c r="T67" i="1"/>
  <c r="X66" i="1"/>
  <c r="V66" i="1"/>
  <c r="T66" i="1"/>
  <c r="X65" i="1"/>
  <c r="V65" i="1"/>
  <c r="T65" i="1"/>
  <c r="X64" i="1"/>
  <c r="V64" i="1"/>
  <c r="T64" i="1"/>
  <c r="X63" i="1"/>
  <c r="V63" i="1"/>
  <c r="T63" i="1"/>
  <c r="X62" i="1"/>
  <c r="V62" i="1"/>
  <c r="T62" i="1"/>
  <c r="X61" i="1"/>
  <c r="V61" i="1"/>
  <c r="T61" i="1"/>
  <c r="X60" i="1"/>
  <c r="V60" i="1"/>
  <c r="T60" i="1"/>
  <c r="X59" i="1"/>
  <c r="V59" i="1"/>
  <c r="T59" i="1"/>
  <c r="X58" i="1"/>
  <c r="V58" i="1"/>
  <c r="T58" i="1"/>
  <c r="X57" i="1"/>
  <c r="V57" i="1"/>
  <c r="T57" i="1"/>
  <c r="X56" i="1"/>
  <c r="V56" i="1"/>
  <c r="T56" i="1"/>
  <c r="X55" i="1"/>
  <c r="V55" i="1"/>
  <c r="T55" i="1"/>
  <c r="X54" i="1"/>
  <c r="V54" i="1"/>
  <c r="T54" i="1"/>
  <c r="X53" i="1"/>
  <c r="V53" i="1"/>
  <c r="T53" i="1"/>
  <c r="X52" i="1"/>
  <c r="V52" i="1"/>
  <c r="T52" i="1"/>
  <c r="X51" i="1"/>
  <c r="V51" i="1"/>
  <c r="T51" i="1"/>
  <c r="X50" i="1"/>
  <c r="V50" i="1"/>
  <c r="T50" i="1"/>
  <c r="X49" i="1"/>
  <c r="V49" i="1"/>
  <c r="T49" i="1"/>
  <c r="X48" i="1"/>
  <c r="V48" i="1"/>
  <c r="T48" i="1"/>
  <c r="X47" i="1"/>
  <c r="V47" i="1"/>
  <c r="T47" i="1"/>
  <c r="X46" i="1"/>
  <c r="V46" i="1"/>
  <c r="T46" i="1"/>
  <c r="X45" i="1"/>
  <c r="V45" i="1"/>
  <c r="T45" i="1"/>
  <c r="X44" i="1"/>
  <c r="V44" i="1"/>
  <c r="T44" i="1"/>
  <c r="X43" i="1"/>
  <c r="V43" i="1"/>
  <c r="T43" i="1"/>
  <c r="X42" i="1"/>
  <c r="V42" i="1"/>
  <c r="T42" i="1"/>
  <c r="X41" i="1"/>
  <c r="V41" i="1"/>
  <c r="T41" i="1"/>
  <c r="Y40" i="1"/>
  <c r="X40" i="1"/>
  <c r="V40" i="1"/>
  <c r="T40" i="1"/>
  <c r="X39" i="1"/>
  <c r="V39" i="1"/>
  <c r="T39" i="1"/>
  <c r="X38" i="1"/>
  <c r="V38" i="1"/>
  <c r="T38" i="1"/>
  <c r="X37" i="1"/>
  <c r="V37" i="1"/>
  <c r="T37" i="1"/>
  <c r="X36" i="1"/>
  <c r="V36" i="1"/>
  <c r="T36" i="1"/>
  <c r="X35" i="1"/>
  <c r="V35" i="1"/>
  <c r="T35" i="1"/>
  <c r="X34" i="1"/>
  <c r="V34" i="1"/>
  <c r="T34" i="1"/>
  <c r="X33" i="1"/>
  <c r="V33" i="1"/>
  <c r="T33" i="1"/>
  <c r="X32" i="1"/>
  <c r="V32" i="1"/>
  <c r="T32" i="1"/>
  <c r="X31" i="1"/>
  <c r="V31" i="1"/>
  <c r="T31" i="1"/>
  <c r="X30" i="1"/>
  <c r="V30" i="1"/>
  <c r="T30" i="1"/>
  <c r="X29" i="1"/>
  <c r="V29" i="1"/>
  <c r="T29" i="1"/>
  <c r="X28" i="1"/>
  <c r="V28" i="1"/>
  <c r="T28" i="1"/>
  <c r="X27" i="1"/>
  <c r="V27" i="1"/>
  <c r="T27" i="1"/>
  <c r="X26" i="1"/>
  <c r="V26" i="1"/>
  <c r="T26" i="1"/>
  <c r="X25" i="1"/>
  <c r="V25" i="1"/>
  <c r="T25" i="1"/>
  <c r="X24" i="1"/>
  <c r="V24" i="1"/>
  <c r="T24" i="1"/>
  <c r="X23" i="1"/>
  <c r="V23" i="1"/>
  <c r="T23" i="1"/>
  <c r="X22" i="1"/>
  <c r="V22" i="1"/>
  <c r="T22" i="1"/>
  <c r="X19" i="1"/>
  <c r="V19" i="1"/>
  <c r="T19" i="1"/>
  <c r="X18" i="1"/>
  <c r="V18" i="1"/>
  <c r="T18" i="1"/>
  <c r="X17" i="1"/>
  <c r="V17" i="1"/>
  <c r="T17" i="1"/>
  <c r="X16" i="1"/>
  <c r="X15" i="1"/>
  <c r="V15" i="1"/>
  <c r="T15" i="1"/>
  <c r="X14" i="1"/>
  <c r="V14" i="1"/>
  <c r="T14" i="1"/>
  <c r="Y161" i="1" l="1"/>
  <c r="Y160" i="1"/>
  <c r="Y159" i="1"/>
  <c r="Y158" i="1"/>
  <c r="Y157" i="1"/>
  <c r="Y156" i="1"/>
  <c r="Y155" i="1"/>
  <c r="Y154" i="1"/>
  <c r="Y153" i="1"/>
  <c r="Y152" i="1"/>
  <c r="Y151" i="1"/>
  <c r="Y150" i="1"/>
  <c r="Y139" i="1"/>
  <c r="Y138" i="1"/>
  <c r="Y136" i="1"/>
  <c r="Y149" i="1"/>
  <c r="Y148" i="1"/>
  <c r="Y147" i="1"/>
  <c r="Y146" i="1"/>
  <c r="Y145" i="1"/>
  <c r="Y144" i="1"/>
  <c r="Y143" i="1"/>
  <c r="Y142" i="1"/>
  <c r="Y141" i="1"/>
  <c r="Y140" i="1"/>
  <c r="Y135" i="1"/>
  <c r="Y133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7" i="1"/>
  <c r="Y129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65" i="1"/>
  <c r="Y54" i="1"/>
  <c r="Y16" i="1"/>
  <c r="Y131" i="1"/>
  <c r="Y100" i="1"/>
  <c r="Y99" i="1"/>
  <c r="Y98" i="1"/>
  <c r="Y97" i="1"/>
  <c r="Y96" i="1"/>
  <c r="Y95" i="1"/>
  <c r="Y94" i="1"/>
  <c r="Y93" i="1"/>
  <c r="Y92" i="1"/>
  <c r="Y91" i="1"/>
  <c r="Y90" i="1"/>
  <c r="Y89" i="1"/>
  <c r="Y24" i="1"/>
  <c r="Y137" i="1"/>
  <c r="Y134" i="1"/>
  <c r="Y132" i="1"/>
  <c r="Y128" i="1"/>
  <c r="Y126" i="1"/>
  <c r="Y88" i="1"/>
  <c r="Y87" i="1"/>
  <c r="Y86" i="1"/>
  <c r="Y85" i="1"/>
  <c r="Y84" i="1"/>
  <c r="Y83" i="1"/>
  <c r="Y82" i="1"/>
  <c r="Y81" i="1"/>
  <c r="Y80" i="1"/>
  <c r="Y79" i="1"/>
  <c r="Y78" i="1"/>
  <c r="Y77" i="1"/>
  <c r="Y67" i="1"/>
  <c r="Y19" i="1"/>
  <c r="Y15" i="1"/>
  <c r="Y76" i="1"/>
  <c r="Y75" i="1"/>
  <c r="Y74" i="1"/>
  <c r="Y73" i="1"/>
  <c r="Y72" i="1"/>
  <c r="Y71" i="1"/>
  <c r="Y70" i="1"/>
  <c r="Y69" i="1"/>
  <c r="Y68" i="1"/>
  <c r="Y66" i="1"/>
  <c r="Y53" i="1"/>
  <c r="Y130" i="1"/>
  <c r="Y127" i="1"/>
  <c r="Y64" i="1"/>
  <c r="Y63" i="1"/>
  <c r="Y62" i="1"/>
  <c r="Y61" i="1"/>
  <c r="Y60" i="1"/>
  <c r="Y59" i="1"/>
  <c r="Y58" i="1"/>
  <c r="Y57" i="1"/>
  <c r="Y56" i="1"/>
  <c r="Y55" i="1"/>
  <c r="Y23" i="1"/>
  <c r="Y18" i="1"/>
  <c r="Y14" i="1"/>
  <c r="Y52" i="1"/>
  <c r="Y51" i="1"/>
  <c r="Y50" i="1"/>
  <c r="Y49" i="1"/>
  <c r="Y48" i="1"/>
  <c r="Y47" i="1"/>
  <c r="Y46" i="1"/>
  <c r="Y45" i="1"/>
  <c r="Y44" i="1"/>
  <c r="Y43" i="1"/>
  <c r="Y42" i="1"/>
  <c r="Y41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000-000005000000}">
      <text>
        <r>
          <rPr>
            <sz val="12"/>
            <color theme="1"/>
            <rFont val="Calibri"/>
            <scheme val="minor"/>
          </rPr>
          <t>======
ID#AAABkzYRT_Q
Laura Berrio    (2025-06-18 17:40:35)
Macroproceso  de la Entidad al que pertenece el activo de información.</t>
        </r>
      </text>
    </comment>
    <comment ref="C13" authorId="0" shapeId="0" xr:uid="{00000000-0006-0000-0000-000022000000}">
      <text>
        <r>
          <rPr>
            <sz val="12"/>
            <color theme="1"/>
            <rFont val="Calibri"/>
            <scheme val="minor"/>
          </rPr>
          <t>======
ID#AAABkzYRT9Y
Laura Berrio    (2025-06-18 17:40:35)
Proceso  de la Entidad al que pertenece el activo de información.</t>
        </r>
      </text>
    </comment>
    <comment ref="D13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ID#AAABkzYRT_U
Laura Berrio    (2025-06-18 17:40:35)
se sugiere que el identificador sea una concatenación del código de la dependencia según TRD + número consecutivo</t>
        </r>
      </text>
    </comment>
    <comment ref="E13" authorId="0" shapeId="0" xr:uid="{00000000-0006-0000-0000-000014000000}">
      <text>
        <r>
          <rPr>
            <sz val="12"/>
            <color theme="1"/>
            <rFont val="Calibri"/>
            <scheme val="minor"/>
          </rPr>
          <t>======
ID#AAABkzYRT-Q
Define el tipo de Activo de Informacion    (2025-06-18 17:40:35)
Información y datos de la entidad:
Corresponden a este tipo datos e información almacenada o procesada física o electrónicamente tales como: bases y archivos de datos, contratos, documentación del sistema, investigaciones, acuerdos de confidencialidad, manuales de usuario, procedimientos operativos o de soporte, planes para la continuidad del negocio, acuerdos sobre retiro y pruebas de auditoría, entre otros
*Sistemas de información y aplicaciones  de Software:
Software de aplicación, interfaces, software del sistema, herramientas de desarrollo y otras utilidades relacionadas
*Dispositivos de Tecnologías de información- Hardware:
Equipos de cómputo que por su criticidad son considerados activos de información, no sólo activos fijos.
*Soporte para almacenamiento de información :
Equipo para almacenamiento de información como USB, Discos Duros, CDs, SAN, NAS.
*Servicios:
Servicios de computación y comunicaciones, tales como Internet, páginas de consulta, directorios compartidos e Intranet</t>
        </r>
      </text>
    </comment>
    <comment ref="F13" authorId="0" shapeId="0" xr:uid="{00000000-0006-0000-0000-00001D000000}">
      <text>
        <r>
          <rPr>
            <sz val="12"/>
            <color theme="1"/>
            <rFont val="Calibri"/>
            <scheme val="minor"/>
          </rPr>
          <t>======
ID#AAABkzYRT9s
Laura Berrio    (2025-06-18 17:40:35)
Area, dependencia o proceso que esta identificando el activo de información</t>
        </r>
      </text>
    </comment>
    <comment ref="G13" authorId="0" shapeId="0" xr:uid="{00000000-0006-0000-0000-00000C000000}">
      <text>
        <r>
          <rPr>
            <sz val="12"/>
            <color theme="1"/>
            <rFont val="Calibri"/>
            <scheme val="minor"/>
          </rPr>
          <t>======
ID#AAABkzYRT-0
Laura Berrio    (2025-06-18 17:40:35)
Serie documental del area, dependencia o proceso que se encuentra identificando el Activo</t>
        </r>
      </text>
    </comment>
    <comment ref="H13" authorId="0" shapeId="0" xr:uid="{00000000-0006-0000-0000-000007000000}">
      <text>
        <r>
          <rPr>
            <sz val="12"/>
            <color theme="1"/>
            <rFont val="Calibri"/>
            <scheme val="minor"/>
          </rPr>
          <t>======
ID#AAABkzYRT_I
Laura Berrio    (2025-06-18 17:40:35)
Subserie documental del area, dependencia o proceso que se encuentra identificando el Activo</t>
        </r>
      </text>
    </comment>
    <comment ref="I13" authorId="0" shapeId="0" xr:uid="{00000000-0006-0000-0000-00000A000000}">
      <text>
        <r>
          <rPr>
            <sz val="12"/>
            <color theme="1"/>
            <rFont val="Calibri"/>
            <scheme val="minor"/>
          </rPr>
          <t>======
ID#AAABkzYRT-4
Laura Berrio    (2025-06-18 17:40:35)
Nombre completo del activo de información</t>
        </r>
      </text>
    </comment>
    <comment ref="J13" authorId="0" shapeId="0" xr:uid="{00000000-0006-0000-0000-00001C000000}">
      <text>
        <r>
          <rPr>
            <sz val="12"/>
            <color theme="1"/>
            <rFont val="Calibri"/>
            <scheme val="minor"/>
          </rPr>
          <t>======
ID#AAABkzYRT9w
Laura Berrio    (2025-06-18 17:40:35)
Descripción resumida de manera clara para identificar el activo de información</t>
        </r>
      </text>
    </comment>
    <comment ref="K13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ID#AAABkzYRT_c
Laura Berrio    (2025-06-18 17:40:35)
Nombre del area, dependencia, proceso 
 responsable de producir el activo de información</t>
        </r>
      </text>
    </comment>
    <comment ref="L13" authorId="0" shapeId="0" xr:uid="{00000000-0006-0000-0000-000016000000}">
      <text>
        <r>
          <rPr>
            <sz val="12"/>
            <color theme="1"/>
            <rFont val="Calibri"/>
            <scheme val="minor"/>
          </rPr>
          <t>======
ID#AAABkzYRT-I
Laura Berrio    (2025-06-18 17:40:35)
Fecha en la que el activo de información fue incluido en el inventario - TRD</t>
        </r>
      </text>
    </comment>
    <comment ref="M13" authorId="0" shapeId="0" xr:uid="{00000000-0006-0000-0000-00001E000000}">
      <text>
        <r>
          <rPr>
            <sz val="12"/>
            <color theme="1"/>
            <rFont val="Calibri"/>
            <scheme val="minor"/>
          </rPr>
          <t>======
ID#AAABkzYRT9o
Laura Berrio    (2025-06-18 17:40:35)
Corresponde al nombre del area, proceso o dependencia encargada en la Entidad de  la custodia o control de la información o implementación de controles de protección.</t>
        </r>
      </text>
    </comment>
    <comment ref="N13" authorId="0" shapeId="0" xr:uid="{00000000-0006-0000-0000-000003000000}">
      <text>
        <r>
          <rPr>
            <sz val="12"/>
            <color theme="1"/>
            <rFont val="Calibri"/>
            <scheme val="minor"/>
          </rPr>
          <t>======
ID#AAABkzYRT_Y
Laura Berrio    (2025-06-18 17:40:35)
Fecha en la que el activo ingresa al archivo de gestión</t>
        </r>
      </text>
    </comment>
    <comment ref="O13" authorId="0" shapeId="0" xr:uid="{00000000-0006-0000-0000-00001F000000}">
      <text>
        <r>
          <rPr>
            <sz val="12"/>
            <color theme="1"/>
            <rFont val="Calibri"/>
            <scheme val="minor"/>
          </rPr>
          <t>======
ID#AAABkzYRT9k
De acuerdo con el Decreto 2609 de 2012    (2025-06-18 17:40:35)
Fisico ( análogo) Digital (electrónico) Este campo se dilgencia 
si el Tipo de activo es "Información" , para el resto de tipos de 
activos se debe seleccionar N/A.</t>
        </r>
      </text>
    </comment>
    <comment ref="P13" authorId="0" shapeId="0" xr:uid="{00000000-0006-0000-0000-00000F000000}">
      <text>
        <r>
          <rPr>
            <sz val="12"/>
            <color theme="1"/>
            <rFont val="Calibri"/>
            <scheme val="minor"/>
          </rPr>
          <t>======
ID#AAABkzYRT-k
Laura Berrio    (2025-06-18 17:40:35)
De acuerdo con el Decreto 2609 de 2012
Archivo Institucional
Es la instancia administrativa de custodiar, organizar y proteger</t>
        </r>
      </text>
    </comment>
    <comment ref="Q13" authorId="0" shapeId="0" xr:uid="{00000000-0006-0000-0000-00001B000000}">
      <text>
        <r>
          <rPr>
            <sz val="12"/>
            <color theme="1"/>
            <rFont val="Calibri"/>
            <scheme val="minor"/>
          </rPr>
          <t>======
ID#AAABkzYRT90
Identifica la forma, tamaño o modo en la que se presenta la información o se permite su visualización o consulta, tales como     (2025-06-18 17:40:35)
Hoja de calculo, imagen, audio, video, documento de texto, etc.</t>
        </r>
      </text>
    </comment>
    <comment ref="R13" authorId="0" shapeId="0" xr:uid="{00000000-0006-0000-0000-000015000000}">
      <text>
        <r>
          <rPr>
            <sz val="12"/>
            <color theme="1"/>
            <rFont val="Calibri"/>
            <scheme val="minor"/>
          </rPr>
          <t>======
ID#AAABkzYRT-M
Laura Berrio    (2025-06-18 17:40:35)
Establece el idioma, lengua o dialecto en que se encuentra la información</t>
        </r>
      </text>
    </comment>
    <comment ref="S13" authorId="0" shapeId="0" xr:uid="{00000000-0006-0000-0000-000004000000}">
      <text>
        <r>
          <rPr>
            <sz val="12"/>
            <color theme="1"/>
            <rFont val="Calibri"/>
            <scheme val="minor"/>
          </rPr>
          <t>======
ID#AAABkzYRT_M
Laura Berrio    (2025-06-18 17:40:35)
La confidencialidad se refiere a que la información no esté disponible ni sea revelada a individuos, Entidades o procesos no autorizados, esta se define de acuerdo con las características de los activos que tiene la Entidad y se encuentran alineadas con los tipos de información declarados en la Ley 1712 de 2014.</t>
        </r>
      </text>
    </comment>
    <comment ref="U13" authorId="0" shapeId="0" xr:uid="{00000000-0006-0000-0000-000021000000}">
      <text>
        <r>
          <rPr>
            <sz val="12"/>
            <color theme="1"/>
            <rFont val="Calibri"/>
            <scheme val="minor"/>
          </rPr>
          <t>======
ID#AAABkzYRT9c
Laura Berrio    (2025-06-18 17:40:35)
Se refiere a la exactitud y completitud de la información, esta propiedad es la que permite que la información sea precisa, coherente y completa desde su creación hasta su destrucción.</t>
        </r>
      </text>
    </comment>
    <comment ref="W13" authorId="0" shapeId="0" xr:uid="{00000000-0006-0000-0000-000023000000}">
      <text>
        <r>
          <rPr>
            <sz val="12"/>
            <color theme="1"/>
            <rFont val="Calibri"/>
            <scheme val="minor"/>
          </rPr>
          <t>======
ID#AAABkzYRT9U
Laura Berrio    (2025-06-18 17:40:35)
Es la propiedad de la información que se refiere a que esta debe ser accesible y utilizable por solicitud de una persona, Entidad o proceso autorizada cuando así lo requiera esta, en el momento y en la forma que se requiere ahora y en el futuro.</t>
        </r>
      </text>
    </comment>
    <comment ref="Y13" authorId="0" shapeId="0" xr:uid="{00000000-0006-0000-0000-00000D000000}">
      <text>
        <r>
          <rPr>
            <sz val="12"/>
            <color theme="1"/>
            <rFont val="Calibri"/>
            <scheme val="minor"/>
          </rPr>
          <t>======
ID#AAABkzYRT-s
Laura Berrio    (2025-06-18 17:40:35)
Es un cálculo automático que determina el valor general del activo, de acuerdo con la clasificación de la información ( Alto - Media - baja)</t>
        </r>
      </text>
    </comment>
    <comment ref="AA13" authorId="0" shapeId="0" xr:uid="{00000000-0006-0000-0000-00001A000000}">
      <text>
        <r>
          <rPr>
            <sz val="12"/>
            <color theme="1"/>
            <rFont val="Calibri"/>
            <scheme val="minor"/>
          </rPr>
          <t>======
ID#AAABkzYRT94
Laura Berrio    (2025-06-18 17:40:35)
Publicada: Si la información es publica y se puede consultar en un sitio web ( interno o externo) o un sistema de información del Estado.
Publicada ( Interno - Intranet)
Publicada ( Externo - Internet)
No Publicada: Si la información se encuentra en la Entidad pero no se encuentra en un sistema de información o sitio web</t>
        </r>
      </text>
    </comment>
    <comment ref="AB13" authorId="0" shapeId="0" xr:uid="{00000000-0006-0000-0000-000013000000}">
      <text>
        <r>
          <rPr>
            <sz val="12"/>
            <color theme="1"/>
            <rFont val="Calibri"/>
            <scheme val="minor"/>
          </rPr>
          <t>======
ID#AAABkzYRT-U
Laura Berrio    (2025-06-18 17:40:35)
Indica la URL, sitio web o sistema de información donde puede ser consultada la información si esta se encuentra pública, el lugar de consulta si no está publicada o ubicación física.</t>
        </r>
      </text>
    </comment>
    <comment ref="AC13" authorId="0" shapeId="0" xr:uid="{00000000-0006-0000-0000-000017000000}">
      <text>
        <r>
          <rPr>
            <sz val="12"/>
            <color theme="1"/>
            <rFont val="Calibri"/>
            <scheme val="minor"/>
          </rPr>
          <t>======
ID#AAABkzYRT-E
Laura Berrio    (2025-06-18 17:40:35)
La identificación de la excepción que, dentro de las previstas en los artículos 18 y 19 de la Ley 1712 de 2014, cobija la calificación de información reservada o clasificada. Si la respuesta es NO se debe marcar no aplica (N/A) en los demás campos sobe el índice de información clasificada y reservada.</t>
        </r>
      </text>
    </comment>
    <comment ref="AD13" authorId="0" shapeId="0" xr:uid="{00000000-0006-0000-0000-000019000000}">
      <text>
        <r>
          <rPr>
            <sz val="12"/>
            <color theme="1"/>
            <rFont val="Calibri"/>
            <scheme val="minor"/>
          </rPr>
          <t>======
ID#AAABkzYRT98
Laura Berrio    (2025-06-18 17:40:35)
Indica el fundamento constitucional o legal que justífica la clasificación o la reserva, señalando expresamente la norma, articulo, inciso o párrafo que la ampara.</t>
        </r>
      </text>
    </comment>
    <comment ref="AE13" authorId="0" shapeId="0" xr:uid="{00000000-0006-0000-0000-00000B000000}">
      <text>
        <r>
          <rPr>
            <sz val="12"/>
            <color theme="1"/>
            <rFont val="Calibri"/>
            <scheme val="minor"/>
          </rPr>
          <t>======
ID#AAABkzYRT-w
Laura Berrio    (2025-06-18 17:40:35)
Indica la norma jurídica que sirve como fundamento jurídico  para la clasificación o reserva de la información.</t>
        </r>
      </text>
    </comment>
    <comment ref="AF13" authorId="0" shapeId="0" xr:uid="{00000000-0006-0000-0000-000008000000}">
      <text>
        <r>
          <rPr>
            <sz val="12"/>
            <color theme="1"/>
            <rFont val="Calibri"/>
            <scheme val="minor"/>
          </rPr>
          <t>======
ID#AAABkzYRT_A
Laura Berrio    (2025-06-18 17:40:35)
Según sea integral o parcial la calificación, las partes o secciones clasificadas o reservadas. Indicar si la totalidad del documento es clasificado o reservado o si solo una parte corresponde a esta calificación.</t>
        </r>
      </text>
    </comment>
    <comment ref="AG13" authorId="0" shapeId="0" xr:uid="{00000000-0006-0000-0000-000009000000}">
      <text>
        <r>
          <rPr>
            <sz val="12"/>
            <color theme="1"/>
            <rFont val="Calibri"/>
            <scheme val="minor"/>
          </rPr>
          <t>======
ID#AAABkzYRT-8
Laura Berrio    (2025-06-18 17:40:35)
Fecha en que se calificó́ la información como reservada o clasificada</t>
        </r>
      </text>
    </comment>
    <comment ref="AH13" authorId="0" shapeId="0" xr:uid="{00000000-0006-0000-0000-000010000000}">
      <text>
        <r>
          <rPr>
            <sz val="12"/>
            <color theme="1"/>
            <rFont val="Calibri"/>
            <scheme val="minor"/>
          </rPr>
          <t>======
ID#AAABkzYRT-c
Laura Berrio    (2025-06-18 17:40:35)
Tiempo que cobija la clasificación o reserva. La clasificación es ilimitada en años, la reserva solo puede durar como máximo por 15 años desde la creación del documento.</t>
        </r>
      </text>
    </comment>
    <comment ref="AI13" authorId="0" shapeId="0" xr:uid="{00000000-0006-0000-0000-000011000000}">
      <text>
        <r>
          <rPr>
            <sz val="12"/>
            <color theme="1"/>
            <rFont val="Calibri"/>
            <scheme val="minor"/>
          </rPr>
          <t>======
ID#AAABkzYRT-g
Laura Berrio    (2025-06-18 17:40:35)
¿ El activo de información contiene datos personales ? SI - NO</t>
        </r>
      </text>
    </comment>
    <comment ref="AJ13" authorId="0" shapeId="0" xr:uid="{00000000-0006-0000-0000-000006000000}">
      <text>
        <r>
          <rPr>
            <sz val="12"/>
            <color theme="1"/>
            <rFont val="Calibri"/>
            <scheme val="minor"/>
          </rPr>
          <t>======
ID#AAABkzYRT_E
Laura Berrio    (2025-06-18 17:40:35)
Son los datos personales de los niños, niñas y adolescentes, cuyo tratamiento está prohibido, salvo que se trate de datos de naturaleza pública. Ej. Registro civil</t>
        </r>
      </text>
    </comment>
    <comment ref="AK13" authorId="0" shapeId="0" xr:uid="{00000000-0006-0000-0000-000018000000}">
      <text>
        <r>
          <rPr>
            <sz val="12"/>
            <color theme="1"/>
            <rFont val="Calibri"/>
            <scheme val="minor"/>
          </rPr>
          <t>======
ID#AAABkzYRT-A
Si cuenta con datos personales seleccione el tipo, en caso contrario seleccione N/A    (2025-06-18 17:40:35)
Dato personal público: Toda información personal que es de conocimiento libre y abierto para el publico en general. Ejemplo: Núnero de identificación apellidos.
Dato personal privado: Toda información personal que tiene un conocimiento restringido, y en principio privado para el público en general. Ejemplo: Dirección de residencia y Nº teléfono.
Dato semiprivado: Es semiprivado el dato que no tiene naturaleza íntima, reservada ni pública y cuyo conocimiento o divulgación puede interesar no solo a su titular sino a cierto sector y grupo de personas. Ejemplo: Fecha y lugar de nacimiento.</t>
        </r>
      </text>
    </comment>
    <comment ref="AL13" authorId="0" shapeId="0" xr:uid="{00000000-0006-0000-0000-00000E000000}">
      <text>
        <r>
          <rPr>
            <sz val="12"/>
            <color theme="1"/>
            <rFont val="Calibri"/>
            <scheme val="minor"/>
          </rPr>
          <t>======
ID#AAABkzYRT-o
Laura Berrio    (2025-06-18 17:40:35)
La finalidad de la recolección justífica por la cual el dato es capturado, almacenado y mantenido en la Entidad.</t>
        </r>
      </text>
    </comment>
    <comment ref="AM13" authorId="0" shapeId="0" xr:uid="{00000000-0006-0000-0000-000012000000}">
      <text>
        <r>
          <rPr>
            <sz val="12"/>
            <color theme="1"/>
            <rFont val="Calibri"/>
            <scheme val="minor"/>
          </rPr>
          <t>======
ID#AAABkzYRT-Y
Laura Berrio    (2025-06-18 17:40:35)
Seleccionar si se cuenta o no con la autorización de la recolección y tratamiento</t>
        </r>
      </text>
    </comment>
    <comment ref="P15" authorId="0" shapeId="0" xr:uid="{00000000-0006-0000-0000-000020000000}">
      <text>
        <r>
          <rPr>
            <sz val="12"/>
            <color theme="1"/>
            <rFont val="Calibri"/>
            <scheme val="minor"/>
          </rPr>
          <t>======
ID#AAABkzYRT9g
tc={2DF130AF-8E63-45A3-90F0-179A25A4A809}    (2025-06-18 17:40:35)
[Threaded comment]
Your version of Excel allows you to read this threaded comment; however, any edits to it will get removed if the file is opened in a newer version of Excel. Learn more: https://go.microsoft.com/fwlink/?linkid=870924
Comment:
    Listar los posibles medio de conservación, como Documentos de Archivo - físicos
Documentos de Archivo - electrónicos
Documentos de Archivo - físicos/electrónico
Archivos Institucionales - físicos
Archivos Institucionales - electrónico
Sistemas de Información corporativos
Sistemas de Trabajo colaborativo
Sistema de Administración de Documentos
Sistemas de Mensajería Electrónica
Portales, Intranet y Extranet
Sistemas de Bases de Datos
Discos duros, servidores, discos o medios portables.
Cintas o medios de video y audio, 
Reply:
    SE ACEPTA SUGERENCIA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xIDw388D/MKEwOrUqMzqoWxStQ=="/>
    </ext>
  </extLst>
</comments>
</file>

<file path=xl/sharedStrings.xml><?xml version="1.0" encoding="utf-8"?>
<sst xmlns="http://schemas.openxmlformats.org/spreadsheetml/2006/main" count="155" uniqueCount="110">
  <si>
    <t>ENTIDAD</t>
  </si>
  <si>
    <t>IDENTIFICACIÓN DEL ACTIVO DE INFORMACIÓN ( LEY 594 DE 2000 - LEY 1712 DE 2014- DECRETO 103 DE 2015 - DECRETO 1080 DE 2015 - ISO 27001 )</t>
  </si>
  <si>
    <t>CLASIFICACIÓN DEL ACTIVO DE INFORMACIÓN ( ISO 27001 )</t>
  </si>
  <si>
    <t>ÍNDICE DE INFORMACIÓN CLASIFICADA Y RESERVADA ( DECRETO 103 DE 2015)</t>
  </si>
  <si>
    <t>DATOS PERSONALES ( LEY 1581 DE 2012)</t>
  </si>
  <si>
    <t>Macroproceso</t>
  </si>
  <si>
    <t>Proceso</t>
  </si>
  <si>
    <t>Identificador</t>
  </si>
  <si>
    <t>Tipo</t>
  </si>
  <si>
    <t>Oficina</t>
  </si>
  <si>
    <t xml:space="preserve">Serie documental </t>
  </si>
  <si>
    <t>Subserie documental</t>
  </si>
  <si>
    <t>Nombre</t>
  </si>
  <si>
    <t>Descripción</t>
  </si>
  <si>
    <t>Nombre del responsable de la producción de la información
( Propietario del activo)</t>
  </si>
  <si>
    <t>Fecha de generación de la información</t>
  </si>
  <si>
    <t>Nombre del responsable de la información
(Custodio del activo)</t>
  </si>
  <si>
    <t>Fecha de ingreso del activo al archivo</t>
  </si>
  <si>
    <t>Soporte de registro</t>
  </si>
  <si>
    <t>Medio de conservación</t>
  </si>
  <si>
    <t>Formato</t>
  </si>
  <si>
    <t xml:space="preserve">Idioma </t>
  </si>
  <si>
    <t>Confidencialidad</t>
  </si>
  <si>
    <t>C</t>
  </si>
  <si>
    <t>Integridad</t>
  </si>
  <si>
    <t>I</t>
  </si>
  <si>
    <t>Disponibilidad</t>
  </si>
  <si>
    <t>D</t>
  </si>
  <si>
    <t>Criticidad del activo</t>
  </si>
  <si>
    <t>Es Infraestructura Critica Cibernética</t>
  </si>
  <si>
    <t>Información publicada</t>
  </si>
  <si>
    <t>Lugar de consulta o ubicación</t>
  </si>
  <si>
    <t>Objeto legitimo de la excepción</t>
  </si>
  <si>
    <t>Fundamento constitucional o legal</t>
  </si>
  <si>
    <t>Fundamento jurídico de la excepción</t>
  </si>
  <si>
    <t>Excepción total o parcial</t>
  </si>
  <si>
    <t>Fecha de clasificación
(DD/MM/AAAA)</t>
  </si>
  <si>
    <t>Tiempo de clasificación</t>
  </si>
  <si>
    <t>¿Contiene datos personales?</t>
  </si>
  <si>
    <t>¿Contiene datos personales de niños, niñas o adolescentes?</t>
  </si>
  <si>
    <t xml:space="preserve">Tipos de datos personales </t>
  </si>
  <si>
    <t>Finalidad de la recolección de los datos personales</t>
  </si>
  <si>
    <t xml:space="preserve">Existe la autorización para el tratamiento de los datos personales </t>
  </si>
  <si>
    <t>Gestión Financiera</t>
  </si>
  <si>
    <t xml:space="preserve">Gestión de nómina </t>
  </si>
  <si>
    <t>GF001</t>
  </si>
  <si>
    <t>Software </t>
  </si>
  <si>
    <t>Financiera</t>
  </si>
  <si>
    <t>001</t>
  </si>
  <si>
    <t>00001</t>
  </si>
  <si>
    <t>Software de gestión de nómina (Pagosnet)</t>
  </si>
  <si>
    <t>Software de gestión de nómina</t>
  </si>
  <si>
    <t>Director TI</t>
  </si>
  <si>
    <t>Analista nómina</t>
  </si>
  <si>
    <t>Digital</t>
  </si>
  <si>
    <t>Sistemas de Información corporativos</t>
  </si>
  <si>
    <t>Software de gestion de nomina</t>
  </si>
  <si>
    <t>Español</t>
  </si>
  <si>
    <t>Clasificada / Uso Interno = Medio</t>
  </si>
  <si>
    <t>Alto</t>
  </si>
  <si>
    <t>No</t>
  </si>
  <si>
    <t>Publicada ( Interno - Intranet)</t>
  </si>
  <si>
    <t>Intranet</t>
  </si>
  <si>
    <t>N/A</t>
  </si>
  <si>
    <t>Información </t>
  </si>
  <si>
    <t xml:space="preserve">Gestion de nomina </t>
  </si>
  <si>
    <t>Informe pagos de nomina periodo: ene-2025 a marzo-2025</t>
  </si>
  <si>
    <t>Informe de los pagos de nomina realizados den el periodo: ene-2025 a marzo-2025</t>
  </si>
  <si>
    <t>Director Financiero</t>
  </si>
  <si>
    <t>Analista nomina</t>
  </si>
  <si>
    <t>SharePoint</t>
  </si>
  <si>
    <t>Si</t>
  </si>
  <si>
    <t>artículo 18 de la ley 1712 de 2014</t>
  </si>
  <si>
    <t>Reserva parcial</t>
  </si>
  <si>
    <t>15 años</t>
  </si>
  <si>
    <t>Dato semiprivado</t>
  </si>
  <si>
    <t>Realizar el pago de nómina</t>
  </si>
  <si>
    <t>Hardware </t>
  </si>
  <si>
    <t>Servicios </t>
  </si>
  <si>
    <t>Recurso Humano </t>
  </si>
  <si>
    <t>Instalaciones </t>
  </si>
  <si>
    <t>Redes</t>
  </si>
  <si>
    <t>Físico</t>
  </si>
  <si>
    <t>Documentos de Archivo - físicos</t>
  </si>
  <si>
    <t>Documentos de Archivo - electrónicos</t>
  </si>
  <si>
    <t>Archivos Institucionales - físicos</t>
  </si>
  <si>
    <t>Archivos Institucionales - electrónico</t>
  </si>
  <si>
    <t>Sistemas de Trabajo colaborativo</t>
  </si>
  <si>
    <t>Sistema de Administración de Documentos</t>
  </si>
  <si>
    <t>Sistemas de Mensajería Electrónica</t>
  </si>
  <si>
    <t>Portales, Intranet y Extranet</t>
  </si>
  <si>
    <t>Sistemas de Bases de Datos</t>
  </si>
  <si>
    <t>Disco duros, servidores, discos o medios portables, cintas o medios de video y audio (análogo o digital), etc.</t>
  </si>
  <si>
    <t>Cintas y medios de soporte (back up o contingencia).</t>
  </si>
  <si>
    <t>Uso de tecnologías en la nube</t>
  </si>
  <si>
    <t>Pública Reservada / Confidencial =Alta</t>
  </si>
  <si>
    <t>Información Pública / Pública =Bajo</t>
  </si>
  <si>
    <t>Medio</t>
  </si>
  <si>
    <t>Bajo</t>
  </si>
  <si>
    <t>Ingles</t>
  </si>
  <si>
    <t>Frances</t>
  </si>
  <si>
    <t>Inglés y Español</t>
  </si>
  <si>
    <t>otro</t>
  </si>
  <si>
    <t>Publicada ( Externo - Internet)</t>
  </si>
  <si>
    <t>No publicada</t>
  </si>
  <si>
    <t>Reserva total</t>
  </si>
  <si>
    <t>Sin reserva</t>
  </si>
  <si>
    <t>Dato personal privado</t>
  </si>
  <si>
    <t>Dato personal público</t>
  </si>
  <si>
    <t>Dato sensible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</si>
</sst>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name val="Calibri"/>
    </font>
    <font>
      <b/>
      <sz val="14"/>
      <color theme="0"/>
      <name val="Calibri"/>
    </font>
    <font>
      <b/>
      <sz val="14"/>
      <color theme="1"/>
      <name val="Calibri"/>
    </font>
    <font>
      <b/>
      <sz val="12"/>
      <color theme="0"/>
      <name val="Work Sans"/>
    </font>
    <font>
      <b/>
      <sz val="8"/>
      <color theme="0"/>
      <name val="Work Sans"/>
    </font>
    <font>
      <sz val="8"/>
      <color theme="1"/>
      <name val="Calibri"/>
    </font>
    <font>
      <sz val="12"/>
      <color theme="1"/>
      <name val="Work Sans"/>
    </font>
    <font>
      <sz val="12"/>
      <color theme="1"/>
      <name val="Calibri"/>
      <scheme val="minor"/>
    </font>
    <font>
      <sz val="10"/>
      <color rgb="FF000000"/>
      <name val="Work Sans"/>
    </font>
  </fonts>
  <fills count="6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C55A11"/>
        <bgColor rgb="FFC55A11"/>
      </patternFill>
    </fill>
    <fill>
      <patternFill patternType="solid">
        <fgColor rgb="FF833C0B"/>
        <bgColor rgb="FF833C0B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2" borderId="2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22" xfId="0" applyFont="1" applyBorder="1"/>
    <xf numFmtId="49" fontId="8" fillId="0" borderId="22" xfId="0" applyNumberFormat="1" applyFont="1" applyBorder="1"/>
    <xf numFmtId="164" fontId="8" fillId="0" borderId="22" xfId="0" applyNumberFormat="1" applyFont="1" applyBorder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5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5" fillId="3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9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4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170961</xdr:colOff>
      <xdr:row>0</xdr:row>
      <xdr:rowOff>183172</xdr:rowOff>
    </xdr:from>
    <xdr:to>
      <xdr:col>2</xdr:col>
      <xdr:colOff>622788</xdr:colOff>
      <xdr:row>7</xdr:row>
      <xdr:rowOff>83037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750753-D164-40D5-BDA4-B750513AC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7884" y="183172"/>
          <a:ext cx="451827" cy="718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2"/>
  <sheetViews>
    <sheetView showGridLines="0" tabSelected="1" zoomScale="78" zoomScaleNormal="78" workbookViewId="0">
      <selection activeCell="B10" sqref="B10:AM11"/>
    </sheetView>
  </sheetViews>
  <sheetFormatPr baseColWidth="10" defaultColWidth="11.25" defaultRowHeight="15" customHeight="1" x14ac:dyDescent="0.25"/>
  <cols>
    <col min="1" max="1" width="11" customWidth="1"/>
    <col min="2" max="2" width="18.5" customWidth="1"/>
    <col min="3" max="3" width="27.75" customWidth="1"/>
    <col min="4" max="4" width="16" customWidth="1"/>
    <col min="5" max="8" width="11" customWidth="1"/>
    <col min="9" max="9" width="29.625" customWidth="1"/>
    <col min="10" max="10" width="28" customWidth="1"/>
    <col min="11" max="11" width="16.75" customWidth="1"/>
    <col min="12" max="12" width="12.125" customWidth="1"/>
    <col min="13" max="13" width="19.125" customWidth="1"/>
    <col min="14" max="14" width="13.75" customWidth="1"/>
    <col min="15" max="15" width="11" customWidth="1"/>
    <col min="16" max="16" width="14.5" customWidth="1"/>
    <col min="17" max="18" width="11" customWidth="1"/>
    <col min="19" max="19" width="17.5" customWidth="1"/>
    <col min="20" max="20" width="7.25" hidden="1" customWidth="1"/>
    <col min="21" max="21" width="11" customWidth="1"/>
    <col min="22" max="22" width="17.25" hidden="1" customWidth="1"/>
    <col min="23" max="23" width="19.25" customWidth="1"/>
    <col min="24" max="24" width="19.25" hidden="1" customWidth="1"/>
    <col min="25" max="25" width="31" customWidth="1"/>
    <col min="26" max="26" width="26.625" customWidth="1"/>
    <col min="27" max="27" width="11" customWidth="1"/>
    <col min="28" max="28" width="19" customWidth="1"/>
    <col min="29" max="29" width="13.125" customWidth="1"/>
    <col min="30" max="30" width="16.25" customWidth="1"/>
    <col min="31" max="31" width="15.125" customWidth="1"/>
    <col min="32" max="32" width="15.5" customWidth="1"/>
    <col min="33" max="33" width="13.25" customWidth="1"/>
    <col min="34" max="34" width="14.25" customWidth="1"/>
    <col min="35" max="35" width="14.125" customWidth="1"/>
    <col min="36" max="36" width="20.25" customWidth="1"/>
    <col min="37" max="37" width="12.75" customWidth="1"/>
    <col min="38" max="38" width="30" customWidth="1"/>
    <col min="39" max="39" width="19.625" customWidth="1"/>
    <col min="40" max="55" width="11" customWidth="1"/>
    <col min="56" max="56" width="38.625" customWidth="1"/>
  </cols>
  <sheetData>
    <row r="1" spans="1:56" ht="15.75" x14ac:dyDescent="0.25">
      <c r="B1" s="20"/>
      <c r="C1" s="21"/>
      <c r="D1" s="25"/>
      <c r="E1" s="21"/>
      <c r="F1" s="21"/>
      <c r="G1" s="21"/>
      <c r="H1" s="21"/>
      <c r="I1" s="21"/>
      <c r="J1" s="21"/>
      <c r="K1" s="21"/>
      <c r="L1" s="26"/>
      <c r="M1" s="20"/>
      <c r="N1" s="21"/>
      <c r="O1" s="21"/>
      <c r="P1" s="26"/>
    </row>
    <row r="2" spans="1:56" ht="15.75" x14ac:dyDescent="0.25">
      <c r="B2" s="22"/>
      <c r="C2" s="13"/>
      <c r="D2" s="27"/>
      <c r="E2" s="13"/>
      <c r="F2" s="13"/>
      <c r="G2" s="13"/>
      <c r="H2" s="13"/>
      <c r="I2" s="13"/>
      <c r="J2" s="13"/>
      <c r="K2" s="13"/>
      <c r="L2" s="28"/>
      <c r="M2" s="22"/>
      <c r="N2" s="13"/>
      <c r="O2" s="13"/>
      <c r="P2" s="28"/>
    </row>
    <row r="3" spans="1:56" ht="8.25" customHeight="1" x14ac:dyDescent="0.25">
      <c r="B3" s="22"/>
      <c r="C3" s="13"/>
      <c r="D3" s="27"/>
      <c r="E3" s="13"/>
      <c r="F3" s="13"/>
      <c r="G3" s="13"/>
      <c r="H3" s="13"/>
      <c r="I3" s="13"/>
      <c r="J3" s="13"/>
      <c r="K3" s="13"/>
      <c r="L3" s="28"/>
      <c r="M3" s="22"/>
      <c r="N3" s="13"/>
      <c r="O3" s="13"/>
      <c r="P3" s="28"/>
    </row>
    <row r="4" spans="1:56" ht="15.75" hidden="1" x14ac:dyDescent="0.25">
      <c r="B4" s="22"/>
      <c r="C4" s="13"/>
      <c r="D4" s="27"/>
      <c r="E4" s="13"/>
      <c r="F4" s="13"/>
      <c r="G4" s="13"/>
      <c r="H4" s="13"/>
      <c r="I4" s="13"/>
      <c r="J4" s="13"/>
      <c r="K4" s="13"/>
      <c r="L4" s="28"/>
      <c r="M4" s="22"/>
      <c r="N4" s="13"/>
      <c r="O4" s="13"/>
      <c r="P4" s="28"/>
    </row>
    <row r="5" spans="1:56" ht="15.75" hidden="1" x14ac:dyDescent="0.25">
      <c r="B5" s="22"/>
      <c r="C5" s="13"/>
      <c r="D5" s="27"/>
      <c r="E5" s="13"/>
      <c r="F5" s="13"/>
      <c r="G5" s="13"/>
      <c r="H5" s="13"/>
      <c r="I5" s="13"/>
      <c r="J5" s="13"/>
      <c r="K5" s="13"/>
      <c r="L5" s="28"/>
      <c r="M5" s="22"/>
      <c r="N5" s="13"/>
      <c r="O5" s="13"/>
      <c r="P5" s="28"/>
    </row>
    <row r="6" spans="1:56" ht="15.75" x14ac:dyDescent="0.25">
      <c r="B6" s="22"/>
      <c r="C6" s="13"/>
      <c r="D6" s="27"/>
      <c r="E6" s="13"/>
      <c r="F6" s="13"/>
      <c r="G6" s="13"/>
      <c r="H6" s="13"/>
      <c r="I6" s="13"/>
      <c r="J6" s="13"/>
      <c r="K6" s="13"/>
      <c r="L6" s="28"/>
      <c r="M6" s="22"/>
      <c r="N6" s="13"/>
      <c r="O6" s="13"/>
      <c r="P6" s="28"/>
    </row>
    <row r="7" spans="1:56" ht="9.75" customHeight="1" x14ac:dyDescent="0.25">
      <c r="B7" s="22"/>
      <c r="C7" s="13"/>
      <c r="D7" s="27"/>
      <c r="E7" s="13"/>
      <c r="F7" s="13"/>
      <c r="G7" s="13"/>
      <c r="H7" s="13"/>
      <c r="I7" s="13"/>
      <c r="J7" s="13"/>
      <c r="K7" s="13"/>
      <c r="L7" s="28"/>
      <c r="M7" s="22"/>
      <c r="N7" s="13"/>
      <c r="O7" s="13"/>
      <c r="P7" s="28"/>
    </row>
    <row r="8" spans="1:56" ht="15.75" x14ac:dyDescent="0.25">
      <c r="B8" s="23"/>
      <c r="C8" s="24"/>
      <c r="D8" s="29"/>
      <c r="E8" s="30"/>
      <c r="F8" s="30"/>
      <c r="G8" s="30"/>
      <c r="H8" s="30"/>
      <c r="I8" s="30"/>
      <c r="J8" s="30"/>
      <c r="K8" s="30"/>
      <c r="L8" s="31"/>
      <c r="M8" s="32"/>
      <c r="N8" s="33"/>
      <c r="O8" s="33"/>
      <c r="P8" s="34"/>
    </row>
    <row r="9" spans="1:56" ht="18.75" x14ac:dyDescent="0.25">
      <c r="B9" s="35" t="s">
        <v>0</v>
      </c>
      <c r="C9" s="36"/>
      <c r="D9" s="37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4"/>
    </row>
    <row r="10" spans="1:56" ht="15.75" x14ac:dyDescent="0.25">
      <c r="A10" s="38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2"/>
    </row>
    <row r="11" spans="1:56" ht="15.7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56" ht="33.75" customHeight="1" x14ac:dyDescent="0.25">
      <c r="A12" s="13"/>
      <c r="B12" s="14" t="s">
        <v>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7" t="s">
        <v>2</v>
      </c>
      <c r="T12" s="15"/>
      <c r="U12" s="15"/>
      <c r="V12" s="15"/>
      <c r="W12" s="15"/>
      <c r="X12" s="15"/>
      <c r="Y12" s="15"/>
      <c r="Z12" s="15"/>
      <c r="AA12" s="15"/>
      <c r="AB12" s="16"/>
      <c r="AC12" s="18" t="s">
        <v>3</v>
      </c>
      <c r="AD12" s="15"/>
      <c r="AE12" s="15"/>
      <c r="AF12" s="15"/>
      <c r="AG12" s="15"/>
      <c r="AH12" s="16"/>
      <c r="AI12" s="19" t="s">
        <v>4</v>
      </c>
      <c r="AJ12" s="15"/>
      <c r="AK12" s="15"/>
      <c r="AL12" s="15"/>
      <c r="AM12" s="16"/>
      <c r="AN12" s="13"/>
    </row>
    <row r="13" spans="1:56" ht="81" x14ac:dyDescent="0.25">
      <c r="A13" s="13"/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2" t="s">
        <v>22</v>
      </c>
      <c r="T13" s="2" t="s">
        <v>23</v>
      </c>
      <c r="U13" s="2" t="s">
        <v>24</v>
      </c>
      <c r="V13" s="2" t="s">
        <v>25</v>
      </c>
      <c r="W13" s="2" t="s">
        <v>26</v>
      </c>
      <c r="X13" s="2" t="s">
        <v>27</v>
      </c>
      <c r="Y13" s="2" t="s">
        <v>28</v>
      </c>
      <c r="Z13" s="2" t="s">
        <v>29</v>
      </c>
      <c r="AA13" s="2" t="s">
        <v>30</v>
      </c>
      <c r="AB13" s="2" t="s">
        <v>31</v>
      </c>
      <c r="AC13" s="3" t="s">
        <v>32</v>
      </c>
      <c r="AD13" s="3" t="s">
        <v>33</v>
      </c>
      <c r="AE13" s="3" t="s">
        <v>34</v>
      </c>
      <c r="AF13" s="3" t="s">
        <v>35</v>
      </c>
      <c r="AG13" s="3" t="s">
        <v>36</v>
      </c>
      <c r="AH13" s="3" t="s">
        <v>37</v>
      </c>
      <c r="AI13" s="4" t="s">
        <v>38</v>
      </c>
      <c r="AJ13" s="4" t="s">
        <v>39</v>
      </c>
      <c r="AK13" s="4" t="s">
        <v>40</v>
      </c>
      <c r="AL13" s="4" t="s">
        <v>41</v>
      </c>
      <c r="AM13" s="4" t="s">
        <v>42</v>
      </c>
      <c r="AN13" s="13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56" ht="19.5" x14ac:dyDescent="0.4">
      <c r="A14" s="13"/>
      <c r="B14" s="6" t="s">
        <v>43</v>
      </c>
      <c r="C14" s="6" t="s">
        <v>44</v>
      </c>
      <c r="D14" s="6" t="s">
        <v>45</v>
      </c>
      <c r="E14" s="6" t="s">
        <v>46</v>
      </c>
      <c r="F14" s="6" t="s">
        <v>47</v>
      </c>
      <c r="G14" s="7" t="s">
        <v>48</v>
      </c>
      <c r="H14" s="7" t="s">
        <v>49</v>
      </c>
      <c r="I14" s="6" t="s">
        <v>50</v>
      </c>
      <c r="J14" s="6" t="s">
        <v>51</v>
      </c>
      <c r="K14" s="6" t="s">
        <v>52</v>
      </c>
      <c r="L14" s="8">
        <v>45728</v>
      </c>
      <c r="M14" s="6" t="s">
        <v>53</v>
      </c>
      <c r="N14" s="8">
        <v>36852</v>
      </c>
      <c r="O14" s="6" t="s">
        <v>54</v>
      </c>
      <c r="P14" s="6" t="s">
        <v>55</v>
      </c>
      <c r="Q14" s="6" t="s">
        <v>56</v>
      </c>
      <c r="R14" s="6" t="s">
        <v>57</v>
      </c>
      <c r="S14" s="6" t="s">
        <v>58</v>
      </c>
      <c r="T14" s="6">
        <f t="shared" ref="T14:T15" si="0">IF(S14="No Clasificada",5,IF(S14="Información Pública / Pública =Bajo",1,IF(S14="Clasificada / Uso Interno = Medio",3,IF(S14="Pública Reservada / Confidencial =Alta",5,))))</f>
        <v>3</v>
      </c>
      <c r="U14" s="6" t="s">
        <v>59</v>
      </c>
      <c r="V14" s="6">
        <f t="shared" ref="V14:V15" si="1">IF(U14="No Clasificada",5,IF(U14="Bajo",1,IF(U14="Medio",3,IF(U14="Alto",5,))))</f>
        <v>5</v>
      </c>
      <c r="W14" s="6" t="s">
        <v>59</v>
      </c>
      <c r="X14" s="6">
        <f t="shared" ref="X14:X19" si="2">IF(W14="No Clasificada",5,IF(W14="Bajo",1,IF(W14="Medio",3,IF(W14="Alto",5,))))</f>
        <v>5</v>
      </c>
      <c r="Y14" s="6" t="str">
        <f t="shared" ref="Y14:Y19" si="3">IF(OR(T14=0,V14=0,X14=0),"FALTAN DATOS",IF(AND(T14=1,V14=1,X14=1),"BAJO",(IF(OR(AND(T14=5,V14=5),AND(V14=5,X14=5),AND(T14=5,X14=5),AND(T14=5,V14=5,X14=5)),"ALTA","MEDIA"))))</f>
        <v>ALTA</v>
      </c>
      <c r="Z14" s="6" t="s">
        <v>60</v>
      </c>
      <c r="AA14" s="6" t="s">
        <v>61</v>
      </c>
      <c r="AB14" s="6" t="s">
        <v>62</v>
      </c>
      <c r="AC14" s="6" t="s">
        <v>63</v>
      </c>
      <c r="AD14" s="6" t="s">
        <v>63</v>
      </c>
      <c r="AE14" s="6" t="s">
        <v>63</v>
      </c>
      <c r="AF14" s="6" t="s">
        <v>63</v>
      </c>
      <c r="AG14" s="6" t="s">
        <v>63</v>
      </c>
      <c r="AH14" s="6" t="s">
        <v>63</v>
      </c>
      <c r="AI14" s="6" t="s">
        <v>63</v>
      </c>
      <c r="AJ14" s="6" t="s">
        <v>63</v>
      </c>
      <c r="AK14" s="6" t="s">
        <v>63</v>
      </c>
      <c r="AL14" s="6" t="s">
        <v>63</v>
      </c>
      <c r="AM14" s="6" t="s">
        <v>63</v>
      </c>
      <c r="AN14" s="13"/>
      <c r="BD14" s="9" t="s">
        <v>64</v>
      </c>
    </row>
    <row r="15" spans="1:56" ht="19.5" x14ac:dyDescent="0.4">
      <c r="A15" s="13"/>
      <c r="B15" s="6" t="s">
        <v>43</v>
      </c>
      <c r="C15" s="6" t="s">
        <v>65</v>
      </c>
      <c r="D15" s="6" t="s">
        <v>45</v>
      </c>
      <c r="E15" s="6" t="s">
        <v>46</v>
      </c>
      <c r="F15" s="6" t="s">
        <v>47</v>
      </c>
      <c r="G15" s="7" t="s">
        <v>48</v>
      </c>
      <c r="H15" s="7" t="s">
        <v>49</v>
      </c>
      <c r="I15" s="6" t="s">
        <v>66</v>
      </c>
      <c r="J15" s="6" t="s">
        <v>67</v>
      </c>
      <c r="K15" s="6" t="s">
        <v>68</v>
      </c>
      <c r="L15" s="8">
        <v>45728</v>
      </c>
      <c r="M15" s="6" t="s">
        <v>69</v>
      </c>
      <c r="N15" s="8">
        <v>36852</v>
      </c>
      <c r="O15" s="6" t="s">
        <v>54</v>
      </c>
      <c r="P15" s="6" t="s">
        <v>55</v>
      </c>
      <c r="Q15" s="6" t="s">
        <v>56</v>
      </c>
      <c r="R15" s="6" t="s">
        <v>57</v>
      </c>
      <c r="S15" s="6" t="s">
        <v>58</v>
      </c>
      <c r="T15" s="6">
        <f t="shared" si="0"/>
        <v>3</v>
      </c>
      <c r="U15" s="6" t="s">
        <v>59</v>
      </c>
      <c r="V15" s="6">
        <f t="shared" si="1"/>
        <v>5</v>
      </c>
      <c r="W15" s="6" t="s">
        <v>59</v>
      </c>
      <c r="X15" s="6">
        <f t="shared" si="2"/>
        <v>5</v>
      </c>
      <c r="Y15" s="6" t="str">
        <f t="shared" si="3"/>
        <v>ALTA</v>
      </c>
      <c r="Z15" s="6" t="s">
        <v>60</v>
      </c>
      <c r="AA15" s="6" t="s">
        <v>61</v>
      </c>
      <c r="AB15" s="6" t="s">
        <v>70</v>
      </c>
      <c r="AC15" s="6" t="s">
        <v>71</v>
      </c>
      <c r="AD15" s="10" t="s">
        <v>72</v>
      </c>
      <c r="AE15" s="6" t="s">
        <v>72</v>
      </c>
      <c r="AF15" s="6" t="s">
        <v>73</v>
      </c>
      <c r="AG15" s="8">
        <v>45731</v>
      </c>
      <c r="AH15" s="6" t="s">
        <v>74</v>
      </c>
      <c r="AI15" s="6" t="s">
        <v>71</v>
      </c>
      <c r="AJ15" s="6" t="s">
        <v>60</v>
      </c>
      <c r="AK15" s="6" t="s">
        <v>75</v>
      </c>
      <c r="AL15" s="6" t="s">
        <v>76</v>
      </c>
      <c r="AM15" s="6" t="s">
        <v>71</v>
      </c>
      <c r="AN15" s="13"/>
      <c r="BD15" s="9" t="s">
        <v>77</v>
      </c>
    </row>
    <row r="16" spans="1:56" ht="19.5" x14ac:dyDescent="0.4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f t="shared" si="2"/>
        <v>0</v>
      </c>
      <c r="Y16" s="6" t="str">
        <f t="shared" si="3"/>
        <v>FALTAN DATOS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13"/>
      <c r="BD16" s="9" t="s">
        <v>46</v>
      </c>
    </row>
    <row r="17" spans="1:56" ht="19.5" x14ac:dyDescent="0.4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f t="shared" ref="T17:T19" si="4">IF(S17="No Clasificada",5,IF(S17="Información Pública / Pública =Bajo",1,IF(S17="Clasificada / Uso Interno = Medio",3,IF(S17="Pública Reservada / Confidencial =Alta",5,))))</f>
        <v>0</v>
      </c>
      <c r="U17" s="6"/>
      <c r="V17" s="6">
        <f t="shared" ref="V17:V19" si="5">IF(U17="No Clasificada",5,IF(U17="Bajo",1,IF(U17="Medio",3,IF(U17="Alto",5,))))</f>
        <v>0</v>
      </c>
      <c r="W17" s="6"/>
      <c r="X17" s="6">
        <f t="shared" si="2"/>
        <v>0</v>
      </c>
      <c r="Y17" s="6" t="str">
        <f t="shared" si="3"/>
        <v>FALTAN DATOS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13"/>
      <c r="BD17" s="9" t="s">
        <v>78</v>
      </c>
    </row>
    <row r="18" spans="1:56" ht="19.5" x14ac:dyDescent="0.4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f t="shared" si="4"/>
        <v>0</v>
      </c>
      <c r="U18" s="6"/>
      <c r="V18" s="6">
        <f t="shared" si="5"/>
        <v>0</v>
      </c>
      <c r="W18" s="6"/>
      <c r="X18" s="6">
        <f t="shared" si="2"/>
        <v>0</v>
      </c>
      <c r="Y18" s="6" t="str">
        <f t="shared" si="3"/>
        <v>FALTAN DATOS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13"/>
      <c r="BD18" s="9" t="s">
        <v>79</v>
      </c>
    </row>
    <row r="19" spans="1:56" ht="19.5" x14ac:dyDescent="0.4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f t="shared" si="4"/>
        <v>0</v>
      </c>
      <c r="U19" s="6"/>
      <c r="V19" s="6">
        <f t="shared" si="5"/>
        <v>0</v>
      </c>
      <c r="W19" s="6"/>
      <c r="X19" s="6">
        <f t="shared" si="2"/>
        <v>0</v>
      </c>
      <c r="Y19" s="6" t="str">
        <f t="shared" si="3"/>
        <v>FALTAN DATOS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13"/>
      <c r="BD19" s="9" t="s">
        <v>80</v>
      </c>
    </row>
    <row r="20" spans="1:56" ht="19.5" x14ac:dyDescent="0.4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3"/>
      <c r="BD20" s="9" t="s">
        <v>81</v>
      </c>
    </row>
    <row r="21" spans="1:56" ht="19.5" x14ac:dyDescent="0.4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3"/>
    </row>
    <row r="22" spans="1:56" ht="19.5" x14ac:dyDescent="0.4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f t="shared" ref="T22:T161" si="6">IF(S22="No Clasificada",5,IF(S22="Información Pública / Pública =Bajo",1,IF(S22="Clasificada / Uso Interno = Medio",3,IF(S22="Pública Reservada / Confidencial =Alta",5,))))</f>
        <v>0</v>
      </c>
      <c r="U22" s="6"/>
      <c r="V22" s="6">
        <f t="shared" ref="V22:V161" si="7">IF(U22="No Clasificada",5,IF(U22="Bajo",1,IF(U22="Medio",3,IF(U22="Alto",5,))))</f>
        <v>0</v>
      </c>
      <c r="W22" s="6"/>
      <c r="X22" s="6">
        <f t="shared" ref="X22:X161" si="8">IF(W22="No Clasificada",5,IF(W22="Bajo",1,IF(W22="Medio",3,IF(W22="Alto",5,))))</f>
        <v>0</v>
      </c>
      <c r="Y22" s="6" t="str">
        <f t="shared" ref="Y22:Y161" si="9">IF(OR(T22=0,V22=0,X22=0),"FALTAN DATOS",IF(AND(T22=1,V22=1,X22=1),"BAJO",(IF(OR(AND(T22=5,V22=5),AND(V22=5,X22=5),AND(T22=5,X22=5),AND(T22=5,V22=5,X22=5)),"ALTA","MEDIA"))))</f>
        <v>FALTAN DATOS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3"/>
    </row>
    <row r="23" spans="1:56" ht="19.5" x14ac:dyDescent="0.4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f t="shared" si="6"/>
        <v>0</v>
      </c>
      <c r="U23" s="6"/>
      <c r="V23" s="6">
        <f t="shared" si="7"/>
        <v>0</v>
      </c>
      <c r="W23" s="6"/>
      <c r="X23" s="6">
        <f t="shared" si="8"/>
        <v>0</v>
      </c>
      <c r="Y23" s="6" t="str">
        <f t="shared" si="9"/>
        <v>FALTAN DATOS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3"/>
      <c r="BD23" s="9" t="s">
        <v>82</v>
      </c>
    </row>
    <row r="24" spans="1:56" ht="19.5" x14ac:dyDescent="0.4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f t="shared" si="6"/>
        <v>0</v>
      </c>
      <c r="U24" s="6"/>
      <c r="V24" s="6">
        <f t="shared" si="7"/>
        <v>0</v>
      </c>
      <c r="W24" s="6"/>
      <c r="X24" s="6">
        <f t="shared" si="8"/>
        <v>0</v>
      </c>
      <c r="Y24" s="6" t="str">
        <f t="shared" si="9"/>
        <v>FALTAN DATOS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3"/>
      <c r="BD24" s="9" t="s">
        <v>54</v>
      </c>
    </row>
    <row r="25" spans="1:56" ht="19.5" x14ac:dyDescent="0.4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f t="shared" si="6"/>
        <v>0</v>
      </c>
      <c r="U25" s="6"/>
      <c r="V25" s="6">
        <f t="shared" si="7"/>
        <v>0</v>
      </c>
      <c r="W25" s="6"/>
      <c r="X25" s="6">
        <f t="shared" si="8"/>
        <v>0</v>
      </c>
      <c r="Y25" s="6" t="str">
        <f t="shared" si="9"/>
        <v>FALTAN DATOS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3"/>
      <c r="BD25" s="9" t="s">
        <v>63</v>
      </c>
    </row>
    <row r="26" spans="1:56" ht="19.5" x14ac:dyDescent="0.4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f t="shared" si="6"/>
        <v>0</v>
      </c>
      <c r="U26" s="6"/>
      <c r="V26" s="6">
        <f t="shared" si="7"/>
        <v>0</v>
      </c>
      <c r="W26" s="6"/>
      <c r="X26" s="6">
        <f t="shared" si="8"/>
        <v>0</v>
      </c>
      <c r="Y26" s="6" t="str">
        <f t="shared" si="9"/>
        <v>FALTAN DATOS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3"/>
    </row>
    <row r="27" spans="1:56" ht="19.5" x14ac:dyDescent="0.4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f t="shared" si="6"/>
        <v>0</v>
      </c>
      <c r="U27" s="6"/>
      <c r="V27" s="6">
        <f t="shared" si="7"/>
        <v>0</v>
      </c>
      <c r="W27" s="6"/>
      <c r="X27" s="6">
        <f t="shared" si="8"/>
        <v>0</v>
      </c>
      <c r="Y27" s="6" t="str">
        <f t="shared" si="9"/>
        <v>FALTAN DATOS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13"/>
      <c r="BD27" s="9" t="s">
        <v>83</v>
      </c>
    </row>
    <row r="28" spans="1:56" ht="19.5" x14ac:dyDescent="0.4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f t="shared" si="6"/>
        <v>0</v>
      </c>
      <c r="U28" s="6"/>
      <c r="V28" s="6">
        <f t="shared" si="7"/>
        <v>0</v>
      </c>
      <c r="W28" s="6"/>
      <c r="X28" s="6">
        <f t="shared" si="8"/>
        <v>0</v>
      </c>
      <c r="Y28" s="6" t="str">
        <f t="shared" si="9"/>
        <v>FALTAN DATOS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13"/>
      <c r="BD28" s="9" t="s">
        <v>84</v>
      </c>
    </row>
    <row r="29" spans="1:56" ht="19.5" x14ac:dyDescent="0.4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f t="shared" si="6"/>
        <v>0</v>
      </c>
      <c r="U29" s="6"/>
      <c r="V29" s="6">
        <f t="shared" si="7"/>
        <v>0</v>
      </c>
      <c r="W29" s="6"/>
      <c r="X29" s="6">
        <f t="shared" si="8"/>
        <v>0</v>
      </c>
      <c r="Y29" s="6" t="str">
        <f t="shared" si="9"/>
        <v>FALTAN DATOS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13"/>
      <c r="BD29" s="9" t="s">
        <v>85</v>
      </c>
    </row>
    <row r="30" spans="1:56" ht="19.5" x14ac:dyDescent="0.4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f t="shared" si="6"/>
        <v>0</v>
      </c>
      <c r="U30" s="6"/>
      <c r="V30" s="6">
        <f t="shared" si="7"/>
        <v>0</v>
      </c>
      <c r="W30" s="6"/>
      <c r="X30" s="6">
        <f t="shared" si="8"/>
        <v>0</v>
      </c>
      <c r="Y30" s="6" t="str">
        <f t="shared" si="9"/>
        <v>FALTAN DATOS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13"/>
      <c r="BD30" s="9" t="s">
        <v>86</v>
      </c>
    </row>
    <row r="31" spans="1:56" ht="19.5" x14ac:dyDescent="0.4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f t="shared" si="6"/>
        <v>0</v>
      </c>
      <c r="U31" s="6"/>
      <c r="V31" s="6">
        <f t="shared" si="7"/>
        <v>0</v>
      </c>
      <c r="W31" s="6"/>
      <c r="X31" s="6">
        <f t="shared" si="8"/>
        <v>0</v>
      </c>
      <c r="Y31" s="6" t="str">
        <f t="shared" si="9"/>
        <v>FALTAN DATOS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13"/>
      <c r="BD31" s="9" t="s">
        <v>55</v>
      </c>
    </row>
    <row r="32" spans="1:56" ht="19.5" x14ac:dyDescent="0.4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f t="shared" si="6"/>
        <v>0</v>
      </c>
      <c r="U32" s="6"/>
      <c r="V32" s="6">
        <f t="shared" si="7"/>
        <v>0</v>
      </c>
      <c r="W32" s="6"/>
      <c r="X32" s="6">
        <f t="shared" si="8"/>
        <v>0</v>
      </c>
      <c r="Y32" s="6" t="str">
        <f t="shared" si="9"/>
        <v>FALTAN DATOS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13"/>
      <c r="BD32" s="9" t="s">
        <v>87</v>
      </c>
    </row>
    <row r="33" spans="1:56" ht="19.5" x14ac:dyDescent="0.4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f t="shared" si="6"/>
        <v>0</v>
      </c>
      <c r="U33" s="6"/>
      <c r="V33" s="6">
        <f t="shared" si="7"/>
        <v>0</v>
      </c>
      <c r="W33" s="6"/>
      <c r="X33" s="6">
        <f t="shared" si="8"/>
        <v>0</v>
      </c>
      <c r="Y33" s="6" t="str">
        <f t="shared" si="9"/>
        <v>FALTAN DATOS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13"/>
      <c r="BD33" s="9" t="s">
        <v>88</v>
      </c>
    </row>
    <row r="34" spans="1:56" ht="19.5" x14ac:dyDescent="0.4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f t="shared" si="6"/>
        <v>0</v>
      </c>
      <c r="U34" s="6"/>
      <c r="V34" s="6">
        <f t="shared" si="7"/>
        <v>0</v>
      </c>
      <c r="W34" s="6"/>
      <c r="X34" s="6">
        <f t="shared" si="8"/>
        <v>0</v>
      </c>
      <c r="Y34" s="6" t="str">
        <f t="shared" si="9"/>
        <v>FALTAN DATOS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13"/>
      <c r="BD34" s="9" t="s">
        <v>89</v>
      </c>
    </row>
    <row r="35" spans="1:56" ht="19.5" x14ac:dyDescent="0.4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f t="shared" si="6"/>
        <v>0</v>
      </c>
      <c r="U35" s="6"/>
      <c r="V35" s="6">
        <f t="shared" si="7"/>
        <v>0</v>
      </c>
      <c r="W35" s="6"/>
      <c r="X35" s="6">
        <f t="shared" si="8"/>
        <v>0</v>
      </c>
      <c r="Y35" s="6" t="str">
        <f t="shared" si="9"/>
        <v>FALTAN DATOS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13"/>
      <c r="BD35" s="9" t="s">
        <v>90</v>
      </c>
    </row>
    <row r="36" spans="1:56" ht="19.5" x14ac:dyDescent="0.4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f t="shared" si="6"/>
        <v>0</v>
      </c>
      <c r="U36" s="6"/>
      <c r="V36" s="6">
        <f t="shared" si="7"/>
        <v>0</v>
      </c>
      <c r="W36" s="6"/>
      <c r="X36" s="6">
        <f t="shared" si="8"/>
        <v>0</v>
      </c>
      <c r="Y36" s="6" t="str">
        <f t="shared" si="9"/>
        <v>FALTAN DATOS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13"/>
      <c r="BD36" s="9" t="s">
        <v>91</v>
      </c>
    </row>
    <row r="37" spans="1:56" ht="19.5" x14ac:dyDescent="0.4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>
        <f t="shared" si="6"/>
        <v>0</v>
      </c>
      <c r="U37" s="6"/>
      <c r="V37" s="6">
        <f t="shared" si="7"/>
        <v>0</v>
      </c>
      <c r="W37" s="6"/>
      <c r="X37" s="6">
        <f t="shared" si="8"/>
        <v>0</v>
      </c>
      <c r="Y37" s="6" t="str">
        <f t="shared" si="9"/>
        <v>FALTAN DATOS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13"/>
      <c r="BD37" s="9" t="s">
        <v>92</v>
      </c>
    </row>
    <row r="38" spans="1:56" ht="19.5" x14ac:dyDescent="0.4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f t="shared" si="6"/>
        <v>0</v>
      </c>
      <c r="U38" s="6"/>
      <c r="V38" s="6">
        <f t="shared" si="7"/>
        <v>0</v>
      </c>
      <c r="W38" s="6"/>
      <c r="X38" s="6">
        <f t="shared" si="8"/>
        <v>0</v>
      </c>
      <c r="Y38" s="6" t="str">
        <f t="shared" si="9"/>
        <v>FALTAN DATOS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13"/>
      <c r="BD38" s="9" t="s">
        <v>93</v>
      </c>
    </row>
    <row r="39" spans="1:56" ht="19.5" x14ac:dyDescent="0.4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f t="shared" si="6"/>
        <v>0</v>
      </c>
      <c r="U39" s="6"/>
      <c r="V39" s="6">
        <f t="shared" si="7"/>
        <v>0</v>
      </c>
      <c r="W39" s="6"/>
      <c r="X39" s="6">
        <f t="shared" si="8"/>
        <v>0</v>
      </c>
      <c r="Y39" s="6" t="str">
        <f t="shared" si="9"/>
        <v>FALTAN DATOS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13"/>
      <c r="BD39" s="9" t="s">
        <v>94</v>
      </c>
    </row>
    <row r="40" spans="1:56" ht="19.5" x14ac:dyDescent="0.4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f t="shared" si="6"/>
        <v>0</v>
      </c>
      <c r="U40" s="6"/>
      <c r="V40" s="6">
        <f t="shared" si="7"/>
        <v>0</v>
      </c>
      <c r="W40" s="6"/>
      <c r="X40" s="6">
        <f t="shared" si="8"/>
        <v>0</v>
      </c>
      <c r="Y40" s="6" t="str">
        <f t="shared" si="9"/>
        <v>FALTAN DATOS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13"/>
      <c r="BD40" s="9" t="s">
        <v>63</v>
      </c>
    </row>
    <row r="41" spans="1:56" ht="19.5" x14ac:dyDescent="0.4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f t="shared" si="6"/>
        <v>0</v>
      </c>
      <c r="U41" s="6"/>
      <c r="V41" s="6">
        <f t="shared" si="7"/>
        <v>0</v>
      </c>
      <c r="W41" s="6"/>
      <c r="X41" s="6">
        <f t="shared" si="8"/>
        <v>0</v>
      </c>
      <c r="Y41" s="6" t="str">
        <f t="shared" si="9"/>
        <v>FALTAN DATOS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13"/>
    </row>
    <row r="42" spans="1:56" ht="19.5" x14ac:dyDescent="0.4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f t="shared" si="6"/>
        <v>0</v>
      </c>
      <c r="U42" s="6"/>
      <c r="V42" s="6">
        <f t="shared" si="7"/>
        <v>0</v>
      </c>
      <c r="W42" s="6"/>
      <c r="X42" s="6">
        <f t="shared" si="8"/>
        <v>0</v>
      </c>
      <c r="Y42" s="6" t="str">
        <f t="shared" si="9"/>
        <v>FALTAN DATOS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13"/>
    </row>
    <row r="43" spans="1:56" ht="19.5" x14ac:dyDescent="0.4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f t="shared" si="6"/>
        <v>0</v>
      </c>
      <c r="U43" s="6"/>
      <c r="V43" s="6">
        <f t="shared" si="7"/>
        <v>0</v>
      </c>
      <c r="W43" s="6"/>
      <c r="X43" s="6">
        <f t="shared" si="8"/>
        <v>0</v>
      </c>
      <c r="Y43" s="6" t="str">
        <f t="shared" si="9"/>
        <v>FALTAN DATOS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13"/>
      <c r="BD43" s="11" t="s">
        <v>95</v>
      </c>
    </row>
    <row r="44" spans="1:56" ht="19.5" x14ac:dyDescent="0.4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f t="shared" si="6"/>
        <v>0</v>
      </c>
      <c r="U44" s="6"/>
      <c r="V44" s="6">
        <f t="shared" si="7"/>
        <v>0</v>
      </c>
      <c r="W44" s="6"/>
      <c r="X44" s="6">
        <f t="shared" si="8"/>
        <v>0</v>
      </c>
      <c r="Y44" s="6" t="str">
        <f t="shared" si="9"/>
        <v>FALTAN DATOS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13"/>
      <c r="BD44" s="9" t="s">
        <v>58</v>
      </c>
    </row>
    <row r="45" spans="1:56" ht="19.5" x14ac:dyDescent="0.4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f t="shared" si="6"/>
        <v>0</v>
      </c>
      <c r="U45" s="6"/>
      <c r="V45" s="6">
        <f t="shared" si="7"/>
        <v>0</v>
      </c>
      <c r="W45" s="6"/>
      <c r="X45" s="6">
        <f t="shared" si="8"/>
        <v>0</v>
      </c>
      <c r="Y45" s="6" t="str">
        <f t="shared" si="9"/>
        <v>FALTAN DATOS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13"/>
      <c r="BD45" s="9" t="s">
        <v>96</v>
      </c>
    </row>
    <row r="46" spans="1:56" ht="19.5" x14ac:dyDescent="0.4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f t="shared" si="6"/>
        <v>0</v>
      </c>
      <c r="U46" s="6"/>
      <c r="V46" s="6">
        <f t="shared" si="7"/>
        <v>0</v>
      </c>
      <c r="W46" s="6"/>
      <c r="X46" s="6">
        <f t="shared" si="8"/>
        <v>0</v>
      </c>
      <c r="Y46" s="6" t="str">
        <f t="shared" si="9"/>
        <v>FALTAN DATOS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13"/>
    </row>
    <row r="47" spans="1:56" ht="19.5" x14ac:dyDescent="0.4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f t="shared" si="6"/>
        <v>0</v>
      </c>
      <c r="U47" s="6"/>
      <c r="V47" s="6">
        <f t="shared" si="7"/>
        <v>0</v>
      </c>
      <c r="W47" s="6"/>
      <c r="X47" s="6">
        <f t="shared" si="8"/>
        <v>0</v>
      </c>
      <c r="Y47" s="6" t="str">
        <f t="shared" si="9"/>
        <v>FALTAN DATOS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13"/>
      <c r="BD47" s="9" t="s">
        <v>59</v>
      </c>
    </row>
    <row r="48" spans="1:56" ht="19.5" x14ac:dyDescent="0.4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f t="shared" si="6"/>
        <v>0</v>
      </c>
      <c r="U48" s="6"/>
      <c r="V48" s="6">
        <f t="shared" si="7"/>
        <v>0</v>
      </c>
      <c r="W48" s="6"/>
      <c r="X48" s="6">
        <f t="shared" si="8"/>
        <v>0</v>
      </c>
      <c r="Y48" s="6" t="str">
        <f t="shared" si="9"/>
        <v>FALTAN DATOS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13"/>
      <c r="BD48" s="9" t="s">
        <v>97</v>
      </c>
    </row>
    <row r="49" spans="1:56" ht="19.5" x14ac:dyDescent="0.4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f t="shared" si="6"/>
        <v>0</v>
      </c>
      <c r="U49" s="6"/>
      <c r="V49" s="6">
        <f t="shared" si="7"/>
        <v>0</v>
      </c>
      <c r="W49" s="6"/>
      <c r="X49" s="6">
        <f t="shared" si="8"/>
        <v>0</v>
      </c>
      <c r="Y49" s="6" t="str">
        <f t="shared" si="9"/>
        <v>FALTAN DATOS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13"/>
      <c r="BD49" s="9" t="s">
        <v>98</v>
      </c>
    </row>
    <row r="50" spans="1:56" ht="19.5" x14ac:dyDescent="0.4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f t="shared" si="6"/>
        <v>0</v>
      </c>
      <c r="U50" s="6"/>
      <c r="V50" s="6">
        <f t="shared" si="7"/>
        <v>0</v>
      </c>
      <c r="W50" s="6"/>
      <c r="X50" s="6">
        <f t="shared" si="8"/>
        <v>0</v>
      </c>
      <c r="Y50" s="6" t="str">
        <f t="shared" si="9"/>
        <v>FALTAN DATOS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13"/>
    </row>
    <row r="51" spans="1:56" ht="19.5" x14ac:dyDescent="0.4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f t="shared" si="6"/>
        <v>0</v>
      </c>
      <c r="U51" s="6"/>
      <c r="V51" s="6">
        <f t="shared" si="7"/>
        <v>0</v>
      </c>
      <c r="W51" s="6"/>
      <c r="X51" s="6">
        <f t="shared" si="8"/>
        <v>0</v>
      </c>
      <c r="Y51" s="6" t="str">
        <f t="shared" si="9"/>
        <v>FALTAN DATOS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13"/>
      <c r="BD51" s="9" t="s">
        <v>57</v>
      </c>
    </row>
    <row r="52" spans="1:56" ht="19.5" x14ac:dyDescent="0.4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f t="shared" si="6"/>
        <v>0</v>
      </c>
      <c r="U52" s="6"/>
      <c r="V52" s="6">
        <f t="shared" si="7"/>
        <v>0</v>
      </c>
      <c r="W52" s="6"/>
      <c r="X52" s="6">
        <f t="shared" si="8"/>
        <v>0</v>
      </c>
      <c r="Y52" s="6" t="str">
        <f t="shared" si="9"/>
        <v>FALTAN DATOS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13"/>
      <c r="BD52" s="9" t="s">
        <v>99</v>
      </c>
    </row>
    <row r="53" spans="1:56" ht="19.5" x14ac:dyDescent="0.4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f t="shared" si="6"/>
        <v>0</v>
      </c>
      <c r="U53" s="6"/>
      <c r="V53" s="6">
        <f t="shared" si="7"/>
        <v>0</v>
      </c>
      <c r="W53" s="6"/>
      <c r="X53" s="6">
        <f t="shared" si="8"/>
        <v>0</v>
      </c>
      <c r="Y53" s="6" t="str">
        <f t="shared" si="9"/>
        <v>FALTAN DATOS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13"/>
      <c r="BD53" s="9" t="s">
        <v>100</v>
      </c>
    </row>
    <row r="54" spans="1:56" ht="19.5" x14ac:dyDescent="0.4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f t="shared" si="6"/>
        <v>0</v>
      </c>
      <c r="U54" s="6"/>
      <c r="V54" s="6">
        <f t="shared" si="7"/>
        <v>0</v>
      </c>
      <c r="W54" s="6"/>
      <c r="X54" s="6">
        <f t="shared" si="8"/>
        <v>0</v>
      </c>
      <c r="Y54" s="6" t="str">
        <f t="shared" si="9"/>
        <v>FALTAN DATOS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13"/>
      <c r="BD54" s="9" t="s">
        <v>101</v>
      </c>
    </row>
    <row r="55" spans="1:56" ht="19.5" x14ac:dyDescent="0.4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f t="shared" si="6"/>
        <v>0</v>
      </c>
      <c r="U55" s="6"/>
      <c r="V55" s="6">
        <f t="shared" si="7"/>
        <v>0</v>
      </c>
      <c r="W55" s="6"/>
      <c r="X55" s="6">
        <f t="shared" si="8"/>
        <v>0</v>
      </c>
      <c r="Y55" s="6" t="str">
        <f t="shared" si="9"/>
        <v>FALTAN DATOS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13"/>
      <c r="BD55" s="9" t="s">
        <v>102</v>
      </c>
    </row>
    <row r="56" spans="1:56" ht="19.5" x14ac:dyDescent="0.4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f t="shared" si="6"/>
        <v>0</v>
      </c>
      <c r="U56" s="6"/>
      <c r="V56" s="6">
        <f t="shared" si="7"/>
        <v>0</v>
      </c>
      <c r="W56" s="6"/>
      <c r="X56" s="6">
        <f t="shared" si="8"/>
        <v>0</v>
      </c>
      <c r="Y56" s="6" t="str">
        <f t="shared" si="9"/>
        <v>FALTAN DATOS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13"/>
    </row>
    <row r="57" spans="1:56" ht="19.5" x14ac:dyDescent="0.4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f t="shared" si="6"/>
        <v>0</v>
      </c>
      <c r="U57" s="6"/>
      <c r="V57" s="6">
        <f t="shared" si="7"/>
        <v>0</v>
      </c>
      <c r="W57" s="6"/>
      <c r="X57" s="6">
        <f t="shared" si="8"/>
        <v>0</v>
      </c>
      <c r="Y57" s="6" t="str">
        <f t="shared" si="9"/>
        <v>FALTAN DATOS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13"/>
    </row>
    <row r="58" spans="1:56" ht="19.5" x14ac:dyDescent="0.4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f t="shared" si="6"/>
        <v>0</v>
      </c>
      <c r="U58" s="6"/>
      <c r="V58" s="6">
        <f t="shared" si="7"/>
        <v>0</v>
      </c>
      <c r="W58" s="6"/>
      <c r="X58" s="6">
        <f t="shared" si="8"/>
        <v>0</v>
      </c>
      <c r="Y58" s="6" t="str">
        <f t="shared" si="9"/>
        <v>FALTAN DATOS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13"/>
      <c r="BD58" s="9" t="s">
        <v>61</v>
      </c>
    </row>
    <row r="59" spans="1:56" ht="19.5" x14ac:dyDescent="0.4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f t="shared" si="6"/>
        <v>0</v>
      </c>
      <c r="U59" s="6"/>
      <c r="V59" s="6">
        <f t="shared" si="7"/>
        <v>0</v>
      </c>
      <c r="W59" s="6"/>
      <c r="X59" s="6">
        <f t="shared" si="8"/>
        <v>0</v>
      </c>
      <c r="Y59" s="6" t="str">
        <f t="shared" si="9"/>
        <v>FALTAN DATOS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13"/>
      <c r="BD59" s="9" t="s">
        <v>103</v>
      </c>
    </row>
    <row r="60" spans="1:56" ht="19.5" x14ac:dyDescent="0.4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f t="shared" si="6"/>
        <v>0</v>
      </c>
      <c r="U60" s="6"/>
      <c r="V60" s="6">
        <f t="shared" si="7"/>
        <v>0</v>
      </c>
      <c r="W60" s="6"/>
      <c r="X60" s="6">
        <f t="shared" si="8"/>
        <v>0</v>
      </c>
      <c r="Y60" s="6" t="str">
        <f t="shared" si="9"/>
        <v>FALTAN DATOS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13"/>
      <c r="BD60" s="9" t="s">
        <v>104</v>
      </c>
    </row>
    <row r="61" spans="1:56" ht="19.5" x14ac:dyDescent="0.4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f t="shared" si="6"/>
        <v>0</v>
      </c>
      <c r="U61" s="6"/>
      <c r="V61" s="6">
        <f t="shared" si="7"/>
        <v>0</v>
      </c>
      <c r="W61" s="6"/>
      <c r="X61" s="6">
        <f t="shared" si="8"/>
        <v>0</v>
      </c>
      <c r="Y61" s="6" t="str">
        <f t="shared" si="9"/>
        <v>FALTAN DATOS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13"/>
    </row>
    <row r="62" spans="1:56" ht="19.5" x14ac:dyDescent="0.4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f t="shared" si="6"/>
        <v>0</v>
      </c>
      <c r="U62" s="6"/>
      <c r="V62" s="6">
        <f t="shared" si="7"/>
        <v>0</v>
      </c>
      <c r="W62" s="6"/>
      <c r="X62" s="6">
        <f t="shared" si="8"/>
        <v>0</v>
      </c>
      <c r="Y62" s="6" t="str">
        <f t="shared" si="9"/>
        <v>FALTAN DATOS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13"/>
      <c r="BD62" s="9" t="s">
        <v>71</v>
      </c>
    </row>
    <row r="63" spans="1:56" ht="19.5" x14ac:dyDescent="0.4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f t="shared" si="6"/>
        <v>0</v>
      </c>
      <c r="U63" s="6"/>
      <c r="V63" s="6">
        <f t="shared" si="7"/>
        <v>0</v>
      </c>
      <c r="W63" s="6"/>
      <c r="X63" s="6">
        <f t="shared" si="8"/>
        <v>0</v>
      </c>
      <c r="Y63" s="6" t="str">
        <f t="shared" si="9"/>
        <v>FALTAN DATOS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13"/>
      <c r="BD63" s="9" t="s">
        <v>60</v>
      </c>
    </row>
    <row r="64" spans="1:56" ht="19.5" x14ac:dyDescent="0.4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f t="shared" si="6"/>
        <v>0</v>
      </c>
      <c r="U64" s="6"/>
      <c r="V64" s="6">
        <f t="shared" si="7"/>
        <v>0</v>
      </c>
      <c r="W64" s="6"/>
      <c r="X64" s="6">
        <f t="shared" si="8"/>
        <v>0</v>
      </c>
      <c r="Y64" s="6" t="str">
        <f t="shared" si="9"/>
        <v>FALTAN DATOS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13"/>
      <c r="BD64" s="9" t="s">
        <v>63</v>
      </c>
    </row>
    <row r="65" spans="1:56" ht="19.5" x14ac:dyDescent="0.4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f t="shared" si="6"/>
        <v>0</v>
      </c>
      <c r="U65" s="6"/>
      <c r="V65" s="6">
        <f t="shared" si="7"/>
        <v>0</v>
      </c>
      <c r="W65" s="6"/>
      <c r="X65" s="6">
        <f t="shared" si="8"/>
        <v>0</v>
      </c>
      <c r="Y65" s="6" t="str">
        <f t="shared" si="9"/>
        <v>FALTAN DATOS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13"/>
    </row>
    <row r="66" spans="1:56" ht="19.5" x14ac:dyDescent="0.4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f t="shared" si="6"/>
        <v>0</v>
      </c>
      <c r="U66" s="6"/>
      <c r="V66" s="6">
        <f t="shared" si="7"/>
        <v>0</v>
      </c>
      <c r="W66" s="6"/>
      <c r="X66" s="6">
        <f t="shared" si="8"/>
        <v>0</v>
      </c>
      <c r="Y66" s="6" t="str">
        <f t="shared" si="9"/>
        <v>FALTAN DATOS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13"/>
    </row>
    <row r="67" spans="1:56" ht="19.5" x14ac:dyDescent="0.4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f t="shared" si="6"/>
        <v>0</v>
      </c>
      <c r="U67" s="6"/>
      <c r="V67" s="6">
        <f t="shared" si="7"/>
        <v>0</v>
      </c>
      <c r="W67" s="6"/>
      <c r="X67" s="6">
        <f t="shared" si="8"/>
        <v>0</v>
      </c>
      <c r="Y67" s="6" t="str">
        <f t="shared" si="9"/>
        <v>FALTAN DATOS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13"/>
      <c r="BD67" s="9" t="s">
        <v>105</v>
      </c>
    </row>
    <row r="68" spans="1:56" ht="19.5" x14ac:dyDescent="0.4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f t="shared" si="6"/>
        <v>0</v>
      </c>
      <c r="U68" s="6"/>
      <c r="V68" s="6">
        <f t="shared" si="7"/>
        <v>0</v>
      </c>
      <c r="W68" s="6"/>
      <c r="X68" s="6">
        <f t="shared" si="8"/>
        <v>0</v>
      </c>
      <c r="Y68" s="6" t="str">
        <f t="shared" si="9"/>
        <v>FALTAN DATOS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13"/>
      <c r="BD68" s="9" t="s">
        <v>73</v>
      </c>
    </row>
    <row r="69" spans="1:56" ht="19.5" x14ac:dyDescent="0.4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f t="shared" si="6"/>
        <v>0</v>
      </c>
      <c r="U69" s="6"/>
      <c r="V69" s="6">
        <f t="shared" si="7"/>
        <v>0</v>
      </c>
      <c r="W69" s="6"/>
      <c r="X69" s="6">
        <f t="shared" si="8"/>
        <v>0</v>
      </c>
      <c r="Y69" s="6" t="str">
        <f t="shared" si="9"/>
        <v>FALTAN DATOS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13"/>
      <c r="BD69" s="9" t="s">
        <v>106</v>
      </c>
    </row>
    <row r="70" spans="1:56" ht="19.5" x14ac:dyDescent="0.4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f t="shared" si="6"/>
        <v>0</v>
      </c>
      <c r="U70" s="6"/>
      <c r="V70" s="6">
        <f t="shared" si="7"/>
        <v>0</v>
      </c>
      <c r="W70" s="6"/>
      <c r="X70" s="6">
        <f t="shared" si="8"/>
        <v>0</v>
      </c>
      <c r="Y70" s="6" t="str">
        <f t="shared" si="9"/>
        <v>FALTAN DATOS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13"/>
    </row>
    <row r="71" spans="1:56" ht="19.5" x14ac:dyDescent="0.4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f t="shared" si="6"/>
        <v>0</v>
      </c>
      <c r="U71" s="6"/>
      <c r="V71" s="6">
        <f t="shared" si="7"/>
        <v>0</v>
      </c>
      <c r="W71" s="6"/>
      <c r="X71" s="6">
        <f t="shared" si="8"/>
        <v>0</v>
      </c>
      <c r="Y71" s="6" t="str">
        <f t="shared" si="9"/>
        <v>FALTAN DATOS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13"/>
      <c r="BD71" s="9" t="s">
        <v>107</v>
      </c>
    </row>
    <row r="72" spans="1:56" ht="19.5" x14ac:dyDescent="0.4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f t="shared" si="6"/>
        <v>0</v>
      </c>
      <c r="U72" s="6"/>
      <c r="V72" s="6">
        <f t="shared" si="7"/>
        <v>0</v>
      </c>
      <c r="W72" s="6"/>
      <c r="X72" s="6">
        <f t="shared" si="8"/>
        <v>0</v>
      </c>
      <c r="Y72" s="6" t="str">
        <f t="shared" si="9"/>
        <v>FALTAN DATOS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13"/>
      <c r="BD72" s="9" t="s">
        <v>108</v>
      </c>
    </row>
    <row r="73" spans="1:56" ht="19.5" x14ac:dyDescent="0.4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f t="shared" si="6"/>
        <v>0</v>
      </c>
      <c r="U73" s="6"/>
      <c r="V73" s="6">
        <f t="shared" si="7"/>
        <v>0</v>
      </c>
      <c r="W73" s="6"/>
      <c r="X73" s="6">
        <f t="shared" si="8"/>
        <v>0</v>
      </c>
      <c r="Y73" s="6" t="str">
        <f t="shared" si="9"/>
        <v>FALTAN DATOS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13"/>
      <c r="BD73" s="9" t="s">
        <v>75</v>
      </c>
    </row>
    <row r="74" spans="1:56" ht="19.5" x14ac:dyDescent="0.4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f t="shared" si="6"/>
        <v>0</v>
      </c>
      <c r="U74" s="6"/>
      <c r="V74" s="6">
        <f t="shared" si="7"/>
        <v>0</v>
      </c>
      <c r="W74" s="6"/>
      <c r="X74" s="6">
        <f t="shared" si="8"/>
        <v>0</v>
      </c>
      <c r="Y74" s="6" t="str">
        <f t="shared" si="9"/>
        <v>FALTAN DATOS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13"/>
      <c r="BD74" s="9" t="s">
        <v>109</v>
      </c>
    </row>
    <row r="75" spans="1:56" ht="19.5" x14ac:dyDescent="0.4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f t="shared" si="6"/>
        <v>0</v>
      </c>
      <c r="U75" s="6"/>
      <c r="V75" s="6">
        <f t="shared" si="7"/>
        <v>0</v>
      </c>
      <c r="W75" s="6"/>
      <c r="X75" s="6">
        <f t="shared" si="8"/>
        <v>0</v>
      </c>
      <c r="Y75" s="6" t="str">
        <f t="shared" si="9"/>
        <v>FALTAN DATOS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13"/>
      <c r="BD75" s="9" t="s">
        <v>63</v>
      </c>
    </row>
    <row r="76" spans="1:56" ht="19.5" x14ac:dyDescent="0.4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f t="shared" si="6"/>
        <v>0</v>
      </c>
      <c r="U76" s="6"/>
      <c r="V76" s="6">
        <f t="shared" si="7"/>
        <v>0</v>
      </c>
      <c r="W76" s="6"/>
      <c r="X76" s="6">
        <f t="shared" si="8"/>
        <v>0</v>
      </c>
      <c r="Y76" s="6" t="str">
        <f t="shared" si="9"/>
        <v>FALTAN DATOS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13"/>
    </row>
    <row r="77" spans="1:56" ht="19.5" x14ac:dyDescent="0.4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f t="shared" si="6"/>
        <v>0</v>
      </c>
      <c r="U77" s="6"/>
      <c r="V77" s="6">
        <f t="shared" si="7"/>
        <v>0</v>
      </c>
      <c r="W77" s="6"/>
      <c r="X77" s="6">
        <f t="shared" si="8"/>
        <v>0</v>
      </c>
      <c r="Y77" s="6" t="str">
        <f t="shared" si="9"/>
        <v>FALTAN DATOS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13"/>
    </row>
    <row r="78" spans="1:56" ht="19.5" x14ac:dyDescent="0.4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f t="shared" si="6"/>
        <v>0</v>
      </c>
      <c r="U78" s="6"/>
      <c r="V78" s="6">
        <f t="shared" si="7"/>
        <v>0</v>
      </c>
      <c r="W78" s="6"/>
      <c r="X78" s="6">
        <f t="shared" si="8"/>
        <v>0</v>
      </c>
      <c r="Y78" s="6" t="str">
        <f t="shared" si="9"/>
        <v>FALTAN DATOS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13"/>
    </row>
    <row r="79" spans="1:56" ht="19.5" x14ac:dyDescent="0.4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>
        <f t="shared" si="6"/>
        <v>0</v>
      </c>
      <c r="U79" s="6"/>
      <c r="V79" s="6">
        <f t="shared" si="7"/>
        <v>0</v>
      </c>
      <c r="W79" s="6"/>
      <c r="X79" s="6">
        <f t="shared" si="8"/>
        <v>0</v>
      </c>
      <c r="Y79" s="6" t="str">
        <f t="shared" si="9"/>
        <v>FALTAN DATOS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13"/>
    </row>
    <row r="80" spans="1:56" ht="19.5" x14ac:dyDescent="0.4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f t="shared" si="6"/>
        <v>0</v>
      </c>
      <c r="U80" s="6"/>
      <c r="V80" s="6">
        <f t="shared" si="7"/>
        <v>0</v>
      </c>
      <c r="W80" s="6"/>
      <c r="X80" s="6">
        <f t="shared" si="8"/>
        <v>0</v>
      </c>
      <c r="Y80" s="6" t="str">
        <f t="shared" si="9"/>
        <v>FALTAN DATOS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13"/>
    </row>
    <row r="81" spans="1:40" ht="19.5" x14ac:dyDescent="0.4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f t="shared" si="6"/>
        <v>0</v>
      </c>
      <c r="U81" s="6"/>
      <c r="V81" s="6">
        <f t="shared" si="7"/>
        <v>0</v>
      </c>
      <c r="W81" s="6"/>
      <c r="X81" s="6">
        <f t="shared" si="8"/>
        <v>0</v>
      </c>
      <c r="Y81" s="6" t="str">
        <f t="shared" si="9"/>
        <v>FALTAN DATOS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13"/>
    </row>
    <row r="82" spans="1:40" ht="19.5" x14ac:dyDescent="0.4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f t="shared" si="6"/>
        <v>0</v>
      </c>
      <c r="U82" s="6"/>
      <c r="V82" s="6">
        <f t="shared" si="7"/>
        <v>0</v>
      </c>
      <c r="W82" s="6"/>
      <c r="X82" s="6">
        <f t="shared" si="8"/>
        <v>0</v>
      </c>
      <c r="Y82" s="6" t="str">
        <f t="shared" si="9"/>
        <v>FALTAN DATOS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13"/>
    </row>
    <row r="83" spans="1:40" ht="19.5" x14ac:dyDescent="0.4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f t="shared" si="6"/>
        <v>0</v>
      </c>
      <c r="U83" s="6"/>
      <c r="V83" s="6">
        <f t="shared" si="7"/>
        <v>0</v>
      </c>
      <c r="W83" s="6"/>
      <c r="X83" s="6">
        <f t="shared" si="8"/>
        <v>0</v>
      </c>
      <c r="Y83" s="6" t="str">
        <f t="shared" si="9"/>
        <v>FALTAN DATOS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13"/>
    </row>
    <row r="84" spans="1:40" ht="19.5" x14ac:dyDescent="0.4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f t="shared" si="6"/>
        <v>0</v>
      </c>
      <c r="U84" s="6"/>
      <c r="V84" s="6">
        <f t="shared" si="7"/>
        <v>0</v>
      </c>
      <c r="W84" s="6"/>
      <c r="X84" s="6">
        <f t="shared" si="8"/>
        <v>0</v>
      </c>
      <c r="Y84" s="6" t="str">
        <f t="shared" si="9"/>
        <v>FALTAN DATOS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13"/>
    </row>
    <row r="85" spans="1:40" ht="19.5" x14ac:dyDescent="0.4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f t="shared" si="6"/>
        <v>0</v>
      </c>
      <c r="U85" s="6"/>
      <c r="V85" s="6">
        <f t="shared" si="7"/>
        <v>0</v>
      </c>
      <c r="W85" s="6"/>
      <c r="X85" s="6">
        <f t="shared" si="8"/>
        <v>0</v>
      </c>
      <c r="Y85" s="6" t="str">
        <f t="shared" si="9"/>
        <v>FALTAN DATOS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13"/>
    </row>
    <row r="86" spans="1:40" ht="19.5" x14ac:dyDescent="0.4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f t="shared" si="6"/>
        <v>0</v>
      </c>
      <c r="U86" s="6"/>
      <c r="V86" s="6">
        <f t="shared" si="7"/>
        <v>0</v>
      </c>
      <c r="W86" s="6"/>
      <c r="X86" s="6">
        <f t="shared" si="8"/>
        <v>0</v>
      </c>
      <c r="Y86" s="6" t="str">
        <f t="shared" si="9"/>
        <v>FALTAN DATOS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13"/>
    </row>
    <row r="87" spans="1:40" ht="19.5" x14ac:dyDescent="0.4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f t="shared" si="6"/>
        <v>0</v>
      </c>
      <c r="U87" s="6"/>
      <c r="V87" s="6">
        <f t="shared" si="7"/>
        <v>0</v>
      </c>
      <c r="W87" s="6"/>
      <c r="X87" s="6">
        <f t="shared" si="8"/>
        <v>0</v>
      </c>
      <c r="Y87" s="6" t="str">
        <f t="shared" si="9"/>
        <v>FALTAN DATOS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13"/>
    </row>
    <row r="88" spans="1:40" ht="19.5" x14ac:dyDescent="0.4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f t="shared" si="6"/>
        <v>0</v>
      </c>
      <c r="U88" s="6"/>
      <c r="V88" s="6">
        <f t="shared" si="7"/>
        <v>0</v>
      </c>
      <c r="W88" s="6"/>
      <c r="X88" s="6">
        <f t="shared" si="8"/>
        <v>0</v>
      </c>
      <c r="Y88" s="6" t="str">
        <f t="shared" si="9"/>
        <v>FALTAN DATOS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13"/>
    </row>
    <row r="89" spans="1:40" ht="19.5" x14ac:dyDescent="0.4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f t="shared" si="6"/>
        <v>0</v>
      </c>
      <c r="U89" s="6"/>
      <c r="V89" s="6">
        <f t="shared" si="7"/>
        <v>0</v>
      </c>
      <c r="W89" s="6"/>
      <c r="X89" s="6">
        <f t="shared" si="8"/>
        <v>0</v>
      </c>
      <c r="Y89" s="6" t="str">
        <f t="shared" si="9"/>
        <v>FALTAN DATOS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13"/>
    </row>
    <row r="90" spans="1:40" ht="19.5" x14ac:dyDescent="0.4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f t="shared" si="6"/>
        <v>0</v>
      </c>
      <c r="U90" s="6"/>
      <c r="V90" s="6">
        <f t="shared" si="7"/>
        <v>0</v>
      </c>
      <c r="W90" s="6"/>
      <c r="X90" s="6">
        <f t="shared" si="8"/>
        <v>0</v>
      </c>
      <c r="Y90" s="6" t="str">
        <f t="shared" si="9"/>
        <v>FALTAN DATOS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13"/>
    </row>
    <row r="91" spans="1:40" ht="19.5" x14ac:dyDescent="0.4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f t="shared" si="6"/>
        <v>0</v>
      </c>
      <c r="U91" s="6"/>
      <c r="V91" s="6">
        <f t="shared" si="7"/>
        <v>0</v>
      </c>
      <c r="W91" s="6"/>
      <c r="X91" s="6">
        <f t="shared" si="8"/>
        <v>0</v>
      </c>
      <c r="Y91" s="6" t="str">
        <f t="shared" si="9"/>
        <v>FALTAN DATOS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13"/>
    </row>
    <row r="92" spans="1:40" ht="19.5" x14ac:dyDescent="0.4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f t="shared" si="6"/>
        <v>0</v>
      </c>
      <c r="U92" s="6"/>
      <c r="V92" s="6">
        <f t="shared" si="7"/>
        <v>0</v>
      </c>
      <c r="W92" s="6"/>
      <c r="X92" s="6">
        <f t="shared" si="8"/>
        <v>0</v>
      </c>
      <c r="Y92" s="6" t="str">
        <f t="shared" si="9"/>
        <v>FALTAN DATOS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13"/>
    </row>
    <row r="93" spans="1:40" ht="19.5" x14ac:dyDescent="0.4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f t="shared" si="6"/>
        <v>0</v>
      </c>
      <c r="U93" s="6"/>
      <c r="V93" s="6">
        <f t="shared" si="7"/>
        <v>0</v>
      </c>
      <c r="W93" s="6"/>
      <c r="X93" s="6">
        <f t="shared" si="8"/>
        <v>0</v>
      </c>
      <c r="Y93" s="6" t="str">
        <f t="shared" si="9"/>
        <v>FALTAN DATOS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13"/>
    </row>
    <row r="94" spans="1:40" ht="19.5" x14ac:dyDescent="0.4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f t="shared" si="6"/>
        <v>0</v>
      </c>
      <c r="U94" s="6"/>
      <c r="V94" s="6">
        <f t="shared" si="7"/>
        <v>0</v>
      </c>
      <c r="W94" s="6"/>
      <c r="X94" s="6">
        <f t="shared" si="8"/>
        <v>0</v>
      </c>
      <c r="Y94" s="6" t="str">
        <f t="shared" si="9"/>
        <v>FALTAN DATOS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13"/>
    </row>
    <row r="95" spans="1:40" ht="19.5" x14ac:dyDescent="0.4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f t="shared" si="6"/>
        <v>0</v>
      </c>
      <c r="U95" s="6"/>
      <c r="V95" s="6">
        <f t="shared" si="7"/>
        <v>0</v>
      </c>
      <c r="W95" s="6"/>
      <c r="X95" s="6">
        <f t="shared" si="8"/>
        <v>0</v>
      </c>
      <c r="Y95" s="6" t="str">
        <f t="shared" si="9"/>
        <v>FALTAN DATOS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13"/>
    </row>
    <row r="96" spans="1:40" ht="19.5" x14ac:dyDescent="0.4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f t="shared" si="6"/>
        <v>0</v>
      </c>
      <c r="U96" s="6"/>
      <c r="V96" s="6">
        <f t="shared" si="7"/>
        <v>0</v>
      </c>
      <c r="W96" s="6"/>
      <c r="X96" s="6">
        <f t="shared" si="8"/>
        <v>0</v>
      </c>
      <c r="Y96" s="6" t="str">
        <f t="shared" si="9"/>
        <v>FALTAN DATOS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13"/>
    </row>
    <row r="97" spans="1:40" ht="19.5" x14ac:dyDescent="0.4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f t="shared" si="6"/>
        <v>0</v>
      </c>
      <c r="U97" s="6"/>
      <c r="V97" s="6">
        <f t="shared" si="7"/>
        <v>0</v>
      </c>
      <c r="W97" s="6"/>
      <c r="X97" s="6">
        <f t="shared" si="8"/>
        <v>0</v>
      </c>
      <c r="Y97" s="6" t="str">
        <f t="shared" si="9"/>
        <v>FALTAN DATOS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13"/>
    </row>
    <row r="98" spans="1:40" ht="19.5" x14ac:dyDescent="0.4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f t="shared" si="6"/>
        <v>0</v>
      </c>
      <c r="U98" s="6"/>
      <c r="V98" s="6">
        <f t="shared" si="7"/>
        <v>0</v>
      </c>
      <c r="W98" s="6"/>
      <c r="X98" s="6">
        <f t="shared" si="8"/>
        <v>0</v>
      </c>
      <c r="Y98" s="6" t="str">
        <f t="shared" si="9"/>
        <v>FALTAN DATOS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13"/>
    </row>
    <row r="99" spans="1:40" ht="19.5" x14ac:dyDescent="0.4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>
        <f t="shared" si="6"/>
        <v>0</v>
      </c>
      <c r="U99" s="6"/>
      <c r="V99" s="6">
        <f t="shared" si="7"/>
        <v>0</v>
      </c>
      <c r="W99" s="6"/>
      <c r="X99" s="6">
        <f t="shared" si="8"/>
        <v>0</v>
      </c>
      <c r="Y99" s="6" t="str">
        <f t="shared" si="9"/>
        <v>FALTAN DATOS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13"/>
    </row>
    <row r="100" spans="1:40" ht="19.5" x14ac:dyDescent="0.4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>
        <f t="shared" si="6"/>
        <v>0</v>
      </c>
      <c r="U100" s="6"/>
      <c r="V100" s="6">
        <f t="shared" si="7"/>
        <v>0</v>
      </c>
      <c r="W100" s="6"/>
      <c r="X100" s="6">
        <f t="shared" si="8"/>
        <v>0</v>
      </c>
      <c r="Y100" s="6" t="str">
        <f t="shared" si="9"/>
        <v>FALTAN DATOS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13"/>
    </row>
    <row r="101" spans="1:40" ht="19.5" x14ac:dyDescent="0.4">
      <c r="A101" s="1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>
        <f t="shared" si="6"/>
        <v>0</v>
      </c>
      <c r="U101" s="6"/>
      <c r="V101" s="6">
        <f t="shared" si="7"/>
        <v>0</v>
      </c>
      <c r="W101" s="6"/>
      <c r="X101" s="6">
        <f t="shared" si="8"/>
        <v>0</v>
      </c>
      <c r="Y101" s="6" t="str">
        <f t="shared" si="9"/>
        <v>FALTAN DATOS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13"/>
    </row>
    <row r="102" spans="1:40" ht="19.5" x14ac:dyDescent="0.4">
      <c r="A102" s="1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>
        <f t="shared" si="6"/>
        <v>0</v>
      </c>
      <c r="U102" s="6"/>
      <c r="V102" s="6">
        <f t="shared" si="7"/>
        <v>0</v>
      </c>
      <c r="W102" s="6"/>
      <c r="X102" s="6">
        <f t="shared" si="8"/>
        <v>0</v>
      </c>
      <c r="Y102" s="6" t="str">
        <f t="shared" si="9"/>
        <v>FALTAN DATOS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13"/>
    </row>
    <row r="103" spans="1:40" ht="19.5" x14ac:dyDescent="0.4">
      <c r="A103" s="1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>
        <f t="shared" si="6"/>
        <v>0</v>
      </c>
      <c r="U103" s="6"/>
      <c r="V103" s="6">
        <f t="shared" si="7"/>
        <v>0</v>
      </c>
      <c r="W103" s="6"/>
      <c r="X103" s="6">
        <f t="shared" si="8"/>
        <v>0</v>
      </c>
      <c r="Y103" s="6" t="str">
        <f t="shared" si="9"/>
        <v>FALTAN DATOS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13"/>
    </row>
    <row r="104" spans="1:40" ht="19.5" x14ac:dyDescent="0.4">
      <c r="A104" s="1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>
        <f t="shared" si="6"/>
        <v>0</v>
      </c>
      <c r="U104" s="6"/>
      <c r="V104" s="6">
        <f t="shared" si="7"/>
        <v>0</v>
      </c>
      <c r="W104" s="6"/>
      <c r="X104" s="6">
        <f t="shared" si="8"/>
        <v>0</v>
      </c>
      <c r="Y104" s="6" t="str">
        <f t="shared" si="9"/>
        <v>FALTAN DATOS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13"/>
    </row>
    <row r="105" spans="1:40" ht="19.5" x14ac:dyDescent="0.4">
      <c r="A105" s="1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>
        <f t="shared" si="6"/>
        <v>0</v>
      </c>
      <c r="U105" s="6"/>
      <c r="V105" s="6">
        <f t="shared" si="7"/>
        <v>0</v>
      </c>
      <c r="W105" s="6"/>
      <c r="X105" s="6">
        <f t="shared" si="8"/>
        <v>0</v>
      </c>
      <c r="Y105" s="6" t="str">
        <f t="shared" si="9"/>
        <v>FALTAN DATOS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13"/>
    </row>
    <row r="106" spans="1:40" ht="19.5" x14ac:dyDescent="0.4">
      <c r="A106" s="1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>
        <f t="shared" si="6"/>
        <v>0</v>
      </c>
      <c r="U106" s="6"/>
      <c r="V106" s="6">
        <f t="shared" si="7"/>
        <v>0</v>
      </c>
      <c r="W106" s="6"/>
      <c r="X106" s="6">
        <f t="shared" si="8"/>
        <v>0</v>
      </c>
      <c r="Y106" s="6" t="str">
        <f t="shared" si="9"/>
        <v>FALTAN DATOS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13"/>
    </row>
    <row r="107" spans="1:40" ht="19.5" x14ac:dyDescent="0.4">
      <c r="A107" s="1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>
        <f t="shared" si="6"/>
        <v>0</v>
      </c>
      <c r="U107" s="6"/>
      <c r="V107" s="6">
        <f t="shared" si="7"/>
        <v>0</v>
      </c>
      <c r="W107" s="6"/>
      <c r="X107" s="6">
        <f t="shared" si="8"/>
        <v>0</v>
      </c>
      <c r="Y107" s="6" t="str">
        <f t="shared" si="9"/>
        <v>FALTAN DATOS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13"/>
    </row>
    <row r="108" spans="1:40" ht="19.5" x14ac:dyDescent="0.4">
      <c r="A108" s="1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>
        <f t="shared" si="6"/>
        <v>0</v>
      </c>
      <c r="U108" s="6"/>
      <c r="V108" s="6">
        <f t="shared" si="7"/>
        <v>0</v>
      </c>
      <c r="W108" s="6"/>
      <c r="X108" s="6">
        <f t="shared" si="8"/>
        <v>0</v>
      </c>
      <c r="Y108" s="6" t="str">
        <f t="shared" si="9"/>
        <v>FALTAN DATOS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13"/>
    </row>
    <row r="109" spans="1:40" ht="19.5" x14ac:dyDescent="0.4">
      <c r="A109" s="1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>
        <f t="shared" si="6"/>
        <v>0</v>
      </c>
      <c r="U109" s="6"/>
      <c r="V109" s="6">
        <f t="shared" si="7"/>
        <v>0</v>
      </c>
      <c r="W109" s="6"/>
      <c r="X109" s="6">
        <f t="shared" si="8"/>
        <v>0</v>
      </c>
      <c r="Y109" s="6" t="str">
        <f t="shared" si="9"/>
        <v>FALTAN DATOS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13"/>
    </row>
    <row r="110" spans="1:40" ht="19.5" x14ac:dyDescent="0.4">
      <c r="A110" s="1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>
        <f t="shared" si="6"/>
        <v>0</v>
      </c>
      <c r="U110" s="6"/>
      <c r="V110" s="6">
        <f t="shared" si="7"/>
        <v>0</v>
      </c>
      <c r="W110" s="6"/>
      <c r="X110" s="6">
        <f t="shared" si="8"/>
        <v>0</v>
      </c>
      <c r="Y110" s="6" t="str">
        <f t="shared" si="9"/>
        <v>FALTAN DATOS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13"/>
    </row>
    <row r="111" spans="1:40" ht="19.5" x14ac:dyDescent="0.4">
      <c r="A111" s="1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>
        <f t="shared" si="6"/>
        <v>0</v>
      </c>
      <c r="U111" s="6"/>
      <c r="V111" s="6">
        <f t="shared" si="7"/>
        <v>0</v>
      </c>
      <c r="W111" s="6"/>
      <c r="X111" s="6">
        <f t="shared" si="8"/>
        <v>0</v>
      </c>
      <c r="Y111" s="6" t="str">
        <f t="shared" si="9"/>
        <v>FALTAN DATOS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13"/>
    </row>
    <row r="112" spans="1:40" ht="19.5" x14ac:dyDescent="0.4">
      <c r="A112" s="1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>
        <f t="shared" si="6"/>
        <v>0</v>
      </c>
      <c r="U112" s="6"/>
      <c r="V112" s="6">
        <f t="shared" si="7"/>
        <v>0</v>
      </c>
      <c r="W112" s="6"/>
      <c r="X112" s="6">
        <f t="shared" si="8"/>
        <v>0</v>
      </c>
      <c r="Y112" s="6" t="str">
        <f t="shared" si="9"/>
        <v>FALTAN DATOS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13"/>
    </row>
    <row r="113" spans="1:40" ht="19.5" x14ac:dyDescent="0.4">
      <c r="A113" s="1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>
        <f t="shared" si="6"/>
        <v>0</v>
      </c>
      <c r="U113" s="6"/>
      <c r="V113" s="6">
        <f t="shared" si="7"/>
        <v>0</v>
      </c>
      <c r="W113" s="6"/>
      <c r="X113" s="6">
        <f t="shared" si="8"/>
        <v>0</v>
      </c>
      <c r="Y113" s="6" t="str">
        <f t="shared" si="9"/>
        <v>FALTAN DATOS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13"/>
    </row>
    <row r="114" spans="1:40" ht="19.5" x14ac:dyDescent="0.4">
      <c r="A114" s="1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>
        <f t="shared" si="6"/>
        <v>0</v>
      </c>
      <c r="U114" s="6"/>
      <c r="V114" s="6">
        <f t="shared" si="7"/>
        <v>0</v>
      </c>
      <c r="W114" s="6"/>
      <c r="X114" s="6">
        <f t="shared" si="8"/>
        <v>0</v>
      </c>
      <c r="Y114" s="6" t="str">
        <f t="shared" si="9"/>
        <v>FALTAN DATOS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13"/>
    </row>
    <row r="115" spans="1:40" ht="19.5" x14ac:dyDescent="0.4">
      <c r="A115" s="1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>
        <f t="shared" si="6"/>
        <v>0</v>
      </c>
      <c r="U115" s="6"/>
      <c r="V115" s="6">
        <f t="shared" si="7"/>
        <v>0</v>
      </c>
      <c r="W115" s="6"/>
      <c r="X115" s="6">
        <f t="shared" si="8"/>
        <v>0</v>
      </c>
      <c r="Y115" s="6" t="str">
        <f t="shared" si="9"/>
        <v>FALTAN DATOS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13"/>
    </row>
    <row r="116" spans="1:40" ht="19.5" x14ac:dyDescent="0.4">
      <c r="A116" s="1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>
        <f t="shared" si="6"/>
        <v>0</v>
      </c>
      <c r="U116" s="6"/>
      <c r="V116" s="6">
        <f t="shared" si="7"/>
        <v>0</v>
      </c>
      <c r="W116" s="6"/>
      <c r="X116" s="6">
        <f t="shared" si="8"/>
        <v>0</v>
      </c>
      <c r="Y116" s="6" t="str">
        <f t="shared" si="9"/>
        <v>FALTAN DATOS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13"/>
    </row>
    <row r="117" spans="1:40" ht="19.5" x14ac:dyDescent="0.4">
      <c r="A117" s="1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>
        <f t="shared" si="6"/>
        <v>0</v>
      </c>
      <c r="U117" s="6"/>
      <c r="V117" s="6">
        <f t="shared" si="7"/>
        <v>0</v>
      </c>
      <c r="W117" s="6"/>
      <c r="X117" s="6">
        <f t="shared" si="8"/>
        <v>0</v>
      </c>
      <c r="Y117" s="6" t="str">
        <f t="shared" si="9"/>
        <v>FALTAN DATOS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13"/>
    </row>
    <row r="118" spans="1:40" ht="19.5" x14ac:dyDescent="0.4">
      <c r="A118" s="1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>
        <f t="shared" si="6"/>
        <v>0</v>
      </c>
      <c r="U118" s="6"/>
      <c r="V118" s="6">
        <f t="shared" si="7"/>
        <v>0</v>
      </c>
      <c r="W118" s="6"/>
      <c r="X118" s="6">
        <f t="shared" si="8"/>
        <v>0</v>
      </c>
      <c r="Y118" s="6" t="str">
        <f t="shared" si="9"/>
        <v>FALTAN DATOS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13"/>
    </row>
    <row r="119" spans="1:40" ht="19.5" x14ac:dyDescent="0.4">
      <c r="A119" s="1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f t="shared" si="6"/>
        <v>0</v>
      </c>
      <c r="U119" s="6"/>
      <c r="V119" s="6">
        <f t="shared" si="7"/>
        <v>0</v>
      </c>
      <c r="W119" s="6"/>
      <c r="X119" s="6">
        <f t="shared" si="8"/>
        <v>0</v>
      </c>
      <c r="Y119" s="6" t="str">
        <f t="shared" si="9"/>
        <v>FALTAN DATOS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13"/>
    </row>
    <row r="120" spans="1:40" ht="19.5" x14ac:dyDescent="0.4">
      <c r="A120" s="1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>
        <f t="shared" si="6"/>
        <v>0</v>
      </c>
      <c r="U120" s="6"/>
      <c r="V120" s="6">
        <f t="shared" si="7"/>
        <v>0</v>
      </c>
      <c r="W120" s="6"/>
      <c r="X120" s="6">
        <f t="shared" si="8"/>
        <v>0</v>
      </c>
      <c r="Y120" s="6" t="str">
        <f t="shared" si="9"/>
        <v>FALTAN DATOS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13"/>
    </row>
    <row r="121" spans="1:40" ht="19.5" x14ac:dyDescent="0.4">
      <c r="A121" s="1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>
        <f t="shared" si="6"/>
        <v>0</v>
      </c>
      <c r="U121" s="6"/>
      <c r="V121" s="6">
        <f t="shared" si="7"/>
        <v>0</v>
      </c>
      <c r="W121" s="6"/>
      <c r="X121" s="6">
        <f t="shared" si="8"/>
        <v>0</v>
      </c>
      <c r="Y121" s="6" t="str">
        <f t="shared" si="9"/>
        <v>FALTAN DATOS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13"/>
    </row>
    <row r="122" spans="1:40" ht="19.5" x14ac:dyDescent="0.4">
      <c r="A122" s="1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>
        <f t="shared" si="6"/>
        <v>0</v>
      </c>
      <c r="U122" s="6"/>
      <c r="V122" s="6">
        <f t="shared" si="7"/>
        <v>0</v>
      </c>
      <c r="W122" s="6"/>
      <c r="X122" s="6">
        <f t="shared" si="8"/>
        <v>0</v>
      </c>
      <c r="Y122" s="6" t="str">
        <f t="shared" si="9"/>
        <v>FALTAN DATOS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13"/>
    </row>
    <row r="123" spans="1:40" ht="19.5" x14ac:dyDescent="0.4">
      <c r="A123" s="1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>
        <f t="shared" si="6"/>
        <v>0</v>
      </c>
      <c r="U123" s="6"/>
      <c r="V123" s="6">
        <f t="shared" si="7"/>
        <v>0</v>
      </c>
      <c r="W123" s="6"/>
      <c r="X123" s="6">
        <f t="shared" si="8"/>
        <v>0</v>
      </c>
      <c r="Y123" s="6" t="str">
        <f t="shared" si="9"/>
        <v>FALTAN DATOS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13"/>
    </row>
    <row r="124" spans="1:40" ht="19.5" x14ac:dyDescent="0.4">
      <c r="A124" s="1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f t="shared" si="6"/>
        <v>0</v>
      </c>
      <c r="U124" s="6"/>
      <c r="V124" s="6">
        <f t="shared" si="7"/>
        <v>0</v>
      </c>
      <c r="W124" s="6"/>
      <c r="X124" s="6">
        <f t="shared" si="8"/>
        <v>0</v>
      </c>
      <c r="Y124" s="6" t="str">
        <f t="shared" si="9"/>
        <v>FALTAN DATOS</v>
      </c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13"/>
    </row>
    <row r="125" spans="1:40" ht="19.5" x14ac:dyDescent="0.4">
      <c r="A125" s="1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>
        <f t="shared" si="6"/>
        <v>0</v>
      </c>
      <c r="U125" s="6"/>
      <c r="V125" s="6">
        <f t="shared" si="7"/>
        <v>0</v>
      </c>
      <c r="W125" s="6"/>
      <c r="X125" s="6">
        <f t="shared" si="8"/>
        <v>0</v>
      </c>
      <c r="Y125" s="6" t="str">
        <f t="shared" si="9"/>
        <v>FALTAN DATOS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13"/>
    </row>
    <row r="126" spans="1:40" ht="19.5" x14ac:dyDescent="0.4">
      <c r="A126" s="1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>
        <f t="shared" si="6"/>
        <v>0</v>
      </c>
      <c r="U126" s="6"/>
      <c r="V126" s="6">
        <f t="shared" si="7"/>
        <v>0</v>
      </c>
      <c r="W126" s="6"/>
      <c r="X126" s="6">
        <f t="shared" si="8"/>
        <v>0</v>
      </c>
      <c r="Y126" s="6" t="str">
        <f t="shared" si="9"/>
        <v>FALTAN DATOS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13"/>
    </row>
    <row r="127" spans="1:40" ht="19.5" x14ac:dyDescent="0.4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>
        <f t="shared" si="6"/>
        <v>0</v>
      </c>
      <c r="U127" s="6"/>
      <c r="V127" s="6">
        <f t="shared" si="7"/>
        <v>0</v>
      </c>
      <c r="W127" s="6"/>
      <c r="X127" s="6">
        <f t="shared" si="8"/>
        <v>0</v>
      </c>
      <c r="Y127" s="6" t="str">
        <f t="shared" si="9"/>
        <v>FALTAN DATOS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13"/>
    </row>
    <row r="128" spans="1:40" ht="19.5" x14ac:dyDescent="0.4">
      <c r="A128" s="1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>
        <f t="shared" si="6"/>
        <v>0</v>
      </c>
      <c r="U128" s="6"/>
      <c r="V128" s="6">
        <f t="shared" si="7"/>
        <v>0</v>
      </c>
      <c r="W128" s="6"/>
      <c r="X128" s="6">
        <f t="shared" si="8"/>
        <v>0</v>
      </c>
      <c r="Y128" s="6" t="str">
        <f t="shared" si="9"/>
        <v>FALTAN DATOS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13"/>
    </row>
    <row r="129" spans="1:40" ht="19.5" x14ac:dyDescent="0.4">
      <c r="A129" s="1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>
        <f t="shared" si="6"/>
        <v>0</v>
      </c>
      <c r="U129" s="6"/>
      <c r="V129" s="6">
        <f t="shared" si="7"/>
        <v>0</v>
      </c>
      <c r="W129" s="6"/>
      <c r="X129" s="6">
        <f t="shared" si="8"/>
        <v>0</v>
      </c>
      <c r="Y129" s="6" t="str">
        <f t="shared" si="9"/>
        <v>FALTAN DATOS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13"/>
    </row>
    <row r="130" spans="1:40" ht="19.5" x14ac:dyDescent="0.4">
      <c r="A130" s="1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>
        <f t="shared" si="6"/>
        <v>0</v>
      </c>
      <c r="U130" s="6"/>
      <c r="V130" s="6">
        <f t="shared" si="7"/>
        <v>0</v>
      </c>
      <c r="W130" s="6"/>
      <c r="X130" s="6">
        <f t="shared" si="8"/>
        <v>0</v>
      </c>
      <c r="Y130" s="6" t="str">
        <f t="shared" si="9"/>
        <v>FALTAN DATOS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13"/>
    </row>
    <row r="131" spans="1:40" ht="19.5" x14ac:dyDescent="0.4">
      <c r="A131" s="1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>
        <f t="shared" si="6"/>
        <v>0</v>
      </c>
      <c r="U131" s="6"/>
      <c r="V131" s="6">
        <f t="shared" si="7"/>
        <v>0</v>
      </c>
      <c r="W131" s="6"/>
      <c r="X131" s="6">
        <f t="shared" si="8"/>
        <v>0</v>
      </c>
      <c r="Y131" s="6" t="str">
        <f t="shared" si="9"/>
        <v>FALTAN DATOS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13"/>
    </row>
    <row r="132" spans="1:40" ht="19.5" x14ac:dyDescent="0.4">
      <c r="A132" s="1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>
        <f t="shared" si="6"/>
        <v>0</v>
      </c>
      <c r="U132" s="6"/>
      <c r="V132" s="6">
        <f t="shared" si="7"/>
        <v>0</v>
      </c>
      <c r="W132" s="6"/>
      <c r="X132" s="6">
        <f t="shared" si="8"/>
        <v>0</v>
      </c>
      <c r="Y132" s="6" t="str">
        <f t="shared" si="9"/>
        <v>FALTAN DATOS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13"/>
    </row>
    <row r="133" spans="1:40" ht="19.5" x14ac:dyDescent="0.4">
      <c r="A133" s="1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>
        <f t="shared" si="6"/>
        <v>0</v>
      </c>
      <c r="U133" s="6"/>
      <c r="V133" s="6">
        <f t="shared" si="7"/>
        <v>0</v>
      </c>
      <c r="W133" s="6"/>
      <c r="X133" s="6">
        <f t="shared" si="8"/>
        <v>0</v>
      </c>
      <c r="Y133" s="6" t="str">
        <f t="shared" si="9"/>
        <v>FALTAN DATOS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13"/>
    </row>
    <row r="134" spans="1:40" ht="19.5" x14ac:dyDescent="0.4">
      <c r="A134" s="1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>
        <f t="shared" si="6"/>
        <v>0</v>
      </c>
      <c r="U134" s="6"/>
      <c r="V134" s="6">
        <f t="shared" si="7"/>
        <v>0</v>
      </c>
      <c r="W134" s="6"/>
      <c r="X134" s="6">
        <f t="shared" si="8"/>
        <v>0</v>
      </c>
      <c r="Y134" s="6" t="str">
        <f t="shared" si="9"/>
        <v>FALTAN DATOS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13"/>
    </row>
    <row r="135" spans="1:40" ht="19.5" x14ac:dyDescent="0.4">
      <c r="A135" s="1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>
        <f t="shared" si="6"/>
        <v>0</v>
      </c>
      <c r="U135" s="6"/>
      <c r="V135" s="6">
        <f t="shared" si="7"/>
        <v>0</v>
      </c>
      <c r="W135" s="6"/>
      <c r="X135" s="6">
        <f t="shared" si="8"/>
        <v>0</v>
      </c>
      <c r="Y135" s="6" t="str">
        <f t="shared" si="9"/>
        <v>FALTAN DATOS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13"/>
    </row>
    <row r="136" spans="1:40" ht="19.5" x14ac:dyDescent="0.4">
      <c r="A136" s="1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>
        <f t="shared" si="6"/>
        <v>0</v>
      </c>
      <c r="U136" s="6"/>
      <c r="V136" s="6">
        <f t="shared" si="7"/>
        <v>0</v>
      </c>
      <c r="W136" s="6"/>
      <c r="X136" s="6">
        <f t="shared" si="8"/>
        <v>0</v>
      </c>
      <c r="Y136" s="6" t="str">
        <f t="shared" si="9"/>
        <v>FALTAN DATOS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13"/>
    </row>
    <row r="137" spans="1:40" ht="19.5" x14ac:dyDescent="0.4">
      <c r="A137" s="1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>
        <f t="shared" si="6"/>
        <v>0</v>
      </c>
      <c r="U137" s="6"/>
      <c r="V137" s="6">
        <f t="shared" si="7"/>
        <v>0</v>
      </c>
      <c r="W137" s="6"/>
      <c r="X137" s="6">
        <f t="shared" si="8"/>
        <v>0</v>
      </c>
      <c r="Y137" s="6" t="str">
        <f t="shared" si="9"/>
        <v>FALTAN DATOS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13"/>
    </row>
    <row r="138" spans="1:40" ht="19.5" x14ac:dyDescent="0.4">
      <c r="A138" s="1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>
        <f t="shared" si="6"/>
        <v>0</v>
      </c>
      <c r="U138" s="6"/>
      <c r="V138" s="6">
        <f t="shared" si="7"/>
        <v>0</v>
      </c>
      <c r="W138" s="6"/>
      <c r="X138" s="6">
        <f t="shared" si="8"/>
        <v>0</v>
      </c>
      <c r="Y138" s="6" t="str">
        <f t="shared" si="9"/>
        <v>FALTAN DATOS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13"/>
    </row>
    <row r="139" spans="1:40" ht="19.5" x14ac:dyDescent="0.4">
      <c r="A139" s="1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>
        <f t="shared" si="6"/>
        <v>0</v>
      </c>
      <c r="U139" s="6"/>
      <c r="V139" s="6">
        <f t="shared" si="7"/>
        <v>0</v>
      </c>
      <c r="W139" s="6"/>
      <c r="X139" s="6">
        <f t="shared" si="8"/>
        <v>0</v>
      </c>
      <c r="Y139" s="6" t="str">
        <f t="shared" si="9"/>
        <v>FALTAN DATOS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13"/>
    </row>
    <row r="140" spans="1:40" ht="19.5" x14ac:dyDescent="0.4">
      <c r="A140" s="1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>
        <f t="shared" si="6"/>
        <v>0</v>
      </c>
      <c r="U140" s="6"/>
      <c r="V140" s="6">
        <f t="shared" si="7"/>
        <v>0</v>
      </c>
      <c r="W140" s="6"/>
      <c r="X140" s="6">
        <f t="shared" si="8"/>
        <v>0</v>
      </c>
      <c r="Y140" s="6" t="str">
        <f t="shared" si="9"/>
        <v>FALTAN DATOS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13"/>
    </row>
    <row r="141" spans="1:40" ht="19.5" x14ac:dyDescent="0.4">
      <c r="A141" s="1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>
        <f t="shared" si="6"/>
        <v>0</v>
      </c>
      <c r="U141" s="6"/>
      <c r="V141" s="6">
        <f t="shared" si="7"/>
        <v>0</v>
      </c>
      <c r="W141" s="6"/>
      <c r="X141" s="6">
        <f t="shared" si="8"/>
        <v>0</v>
      </c>
      <c r="Y141" s="6" t="str">
        <f t="shared" si="9"/>
        <v>FALTAN DATOS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13"/>
    </row>
    <row r="142" spans="1:40" ht="19.5" x14ac:dyDescent="0.4">
      <c r="A142" s="1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>
        <f t="shared" si="6"/>
        <v>0</v>
      </c>
      <c r="U142" s="6"/>
      <c r="V142" s="6">
        <f t="shared" si="7"/>
        <v>0</v>
      </c>
      <c r="W142" s="6"/>
      <c r="X142" s="6">
        <f t="shared" si="8"/>
        <v>0</v>
      </c>
      <c r="Y142" s="6" t="str">
        <f t="shared" si="9"/>
        <v>FALTAN DATOS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13"/>
    </row>
    <row r="143" spans="1:40" ht="19.5" x14ac:dyDescent="0.4">
      <c r="A143" s="1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>
        <f t="shared" si="6"/>
        <v>0</v>
      </c>
      <c r="U143" s="6"/>
      <c r="V143" s="6">
        <f t="shared" si="7"/>
        <v>0</v>
      </c>
      <c r="W143" s="6"/>
      <c r="X143" s="6">
        <f t="shared" si="8"/>
        <v>0</v>
      </c>
      <c r="Y143" s="6" t="str">
        <f t="shared" si="9"/>
        <v>FALTAN DATOS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13"/>
    </row>
    <row r="144" spans="1:40" ht="19.5" x14ac:dyDescent="0.4">
      <c r="A144" s="1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>
        <f t="shared" si="6"/>
        <v>0</v>
      </c>
      <c r="U144" s="6"/>
      <c r="V144" s="6">
        <f t="shared" si="7"/>
        <v>0</v>
      </c>
      <c r="W144" s="6"/>
      <c r="X144" s="6">
        <f t="shared" si="8"/>
        <v>0</v>
      </c>
      <c r="Y144" s="6" t="str">
        <f t="shared" si="9"/>
        <v>FALTAN DATOS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13"/>
    </row>
    <row r="145" spans="1:40" ht="19.5" x14ac:dyDescent="0.4">
      <c r="A145" s="1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>
        <f t="shared" si="6"/>
        <v>0</v>
      </c>
      <c r="U145" s="6"/>
      <c r="V145" s="6">
        <f t="shared" si="7"/>
        <v>0</v>
      </c>
      <c r="W145" s="6"/>
      <c r="X145" s="6">
        <f t="shared" si="8"/>
        <v>0</v>
      </c>
      <c r="Y145" s="6" t="str">
        <f t="shared" si="9"/>
        <v>FALTAN DATOS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13"/>
    </row>
    <row r="146" spans="1:40" ht="19.5" x14ac:dyDescent="0.4">
      <c r="A146" s="1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>
        <f t="shared" si="6"/>
        <v>0</v>
      </c>
      <c r="U146" s="6"/>
      <c r="V146" s="6">
        <f t="shared" si="7"/>
        <v>0</v>
      </c>
      <c r="W146" s="6"/>
      <c r="X146" s="6">
        <f t="shared" si="8"/>
        <v>0</v>
      </c>
      <c r="Y146" s="6" t="str">
        <f t="shared" si="9"/>
        <v>FALTAN DATOS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13"/>
    </row>
    <row r="147" spans="1:40" ht="19.5" x14ac:dyDescent="0.4">
      <c r="A147" s="1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>
        <f t="shared" si="6"/>
        <v>0</v>
      </c>
      <c r="U147" s="6"/>
      <c r="V147" s="6">
        <f t="shared" si="7"/>
        <v>0</v>
      </c>
      <c r="W147" s="6"/>
      <c r="X147" s="6">
        <f t="shared" si="8"/>
        <v>0</v>
      </c>
      <c r="Y147" s="6" t="str">
        <f t="shared" si="9"/>
        <v>FALTAN DATOS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13"/>
    </row>
    <row r="148" spans="1:40" ht="19.5" x14ac:dyDescent="0.4">
      <c r="A148" s="1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>
        <f t="shared" si="6"/>
        <v>0</v>
      </c>
      <c r="U148" s="6"/>
      <c r="V148" s="6">
        <f t="shared" si="7"/>
        <v>0</v>
      </c>
      <c r="W148" s="6"/>
      <c r="X148" s="6">
        <f t="shared" si="8"/>
        <v>0</v>
      </c>
      <c r="Y148" s="6" t="str">
        <f t="shared" si="9"/>
        <v>FALTAN DATOS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13"/>
    </row>
    <row r="149" spans="1:40" ht="19.5" x14ac:dyDescent="0.4">
      <c r="A149" s="1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>
        <f t="shared" si="6"/>
        <v>0</v>
      </c>
      <c r="U149" s="6"/>
      <c r="V149" s="6">
        <f t="shared" si="7"/>
        <v>0</v>
      </c>
      <c r="W149" s="6"/>
      <c r="X149" s="6">
        <f t="shared" si="8"/>
        <v>0</v>
      </c>
      <c r="Y149" s="6" t="str">
        <f t="shared" si="9"/>
        <v>FALTAN DATOS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13"/>
    </row>
    <row r="150" spans="1:40" ht="19.5" x14ac:dyDescent="0.4">
      <c r="A150" s="1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>
        <f t="shared" si="6"/>
        <v>0</v>
      </c>
      <c r="U150" s="6"/>
      <c r="V150" s="6">
        <f t="shared" si="7"/>
        <v>0</v>
      </c>
      <c r="W150" s="6"/>
      <c r="X150" s="6">
        <f t="shared" si="8"/>
        <v>0</v>
      </c>
      <c r="Y150" s="6" t="str">
        <f t="shared" si="9"/>
        <v>FALTAN DATOS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13"/>
    </row>
    <row r="151" spans="1:40" ht="19.5" x14ac:dyDescent="0.4">
      <c r="A151" s="1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>
        <f t="shared" si="6"/>
        <v>0</v>
      </c>
      <c r="U151" s="6"/>
      <c r="V151" s="6">
        <f t="shared" si="7"/>
        <v>0</v>
      </c>
      <c r="W151" s="6"/>
      <c r="X151" s="6">
        <f t="shared" si="8"/>
        <v>0</v>
      </c>
      <c r="Y151" s="6" t="str">
        <f t="shared" si="9"/>
        <v>FALTAN DATOS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13"/>
    </row>
    <row r="152" spans="1:40" ht="19.5" x14ac:dyDescent="0.4">
      <c r="A152" s="1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>
        <f t="shared" si="6"/>
        <v>0</v>
      </c>
      <c r="U152" s="6"/>
      <c r="V152" s="6">
        <f t="shared" si="7"/>
        <v>0</v>
      </c>
      <c r="W152" s="6"/>
      <c r="X152" s="6">
        <f t="shared" si="8"/>
        <v>0</v>
      </c>
      <c r="Y152" s="6" t="str">
        <f t="shared" si="9"/>
        <v>FALTAN DATOS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13"/>
    </row>
    <row r="153" spans="1:40" ht="19.5" x14ac:dyDescent="0.4">
      <c r="A153" s="1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>
        <f t="shared" si="6"/>
        <v>0</v>
      </c>
      <c r="U153" s="6"/>
      <c r="V153" s="6">
        <f t="shared" si="7"/>
        <v>0</v>
      </c>
      <c r="W153" s="6"/>
      <c r="X153" s="6">
        <f t="shared" si="8"/>
        <v>0</v>
      </c>
      <c r="Y153" s="6" t="str">
        <f t="shared" si="9"/>
        <v>FALTAN DATOS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13"/>
    </row>
    <row r="154" spans="1:40" ht="19.5" x14ac:dyDescent="0.4">
      <c r="A154" s="1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>
        <f t="shared" si="6"/>
        <v>0</v>
      </c>
      <c r="U154" s="6"/>
      <c r="V154" s="6">
        <f t="shared" si="7"/>
        <v>0</v>
      </c>
      <c r="W154" s="6"/>
      <c r="X154" s="6">
        <f t="shared" si="8"/>
        <v>0</v>
      </c>
      <c r="Y154" s="6" t="str">
        <f t="shared" si="9"/>
        <v>FALTAN DATOS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13"/>
    </row>
    <row r="155" spans="1:40" ht="19.5" x14ac:dyDescent="0.4">
      <c r="A155" s="1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>
        <f t="shared" si="6"/>
        <v>0</v>
      </c>
      <c r="U155" s="6"/>
      <c r="V155" s="6">
        <f t="shared" si="7"/>
        <v>0</v>
      </c>
      <c r="W155" s="6"/>
      <c r="X155" s="6">
        <f t="shared" si="8"/>
        <v>0</v>
      </c>
      <c r="Y155" s="6" t="str">
        <f t="shared" si="9"/>
        <v>FALTAN DATOS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13"/>
    </row>
    <row r="156" spans="1:40" ht="19.5" x14ac:dyDescent="0.4">
      <c r="A156" s="1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>
        <f t="shared" si="6"/>
        <v>0</v>
      </c>
      <c r="U156" s="6"/>
      <c r="V156" s="6">
        <f t="shared" si="7"/>
        <v>0</v>
      </c>
      <c r="W156" s="6"/>
      <c r="X156" s="6">
        <f t="shared" si="8"/>
        <v>0</v>
      </c>
      <c r="Y156" s="6" t="str">
        <f t="shared" si="9"/>
        <v>FALTAN DATOS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13"/>
    </row>
    <row r="157" spans="1:40" ht="19.5" x14ac:dyDescent="0.4">
      <c r="A157" s="1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>
        <f t="shared" si="6"/>
        <v>0</v>
      </c>
      <c r="U157" s="6"/>
      <c r="V157" s="6">
        <f t="shared" si="7"/>
        <v>0</v>
      </c>
      <c r="W157" s="6"/>
      <c r="X157" s="6">
        <f t="shared" si="8"/>
        <v>0</v>
      </c>
      <c r="Y157" s="6" t="str">
        <f t="shared" si="9"/>
        <v>FALTAN DATOS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13"/>
    </row>
    <row r="158" spans="1:40" ht="19.5" x14ac:dyDescent="0.4">
      <c r="A158" s="1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>
        <f t="shared" si="6"/>
        <v>0</v>
      </c>
      <c r="U158" s="6"/>
      <c r="V158" s="6">
        <f t="shared" si="7"/>
        <v>0</v>
      </c>
      <c r="W158" s="6"/>
      <c r="X158" s="6">
        <f t="shared" si="8"/>
        <v>0</v>
      </c>
      <c r="Y158" s="6" t="str">
        <f t="shared" si="9"/>
        <v>FALTAN DATOS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13"/>
    </row>
    <row r="159" spans="1:40" ht="19.5" x14ac:dyDescent="0.4">
      <c r="A159" s="1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>
        <f t="shared" si="6"/>
        <v>0</v>
      </c>
      <c r="U159" s="6"/>
      <c r="V159" s="6">
        <f t="shared" si="7"/>
        <v>0</v>
      </c>
      <c r="W159" s="6"/>
      <c r="X159" s="6">
        <f t="shared" si="8"/>
        <v>0</v>
      </c>
      <c r="Y159" s="6" t="str">
        <f t="shared" si="9"/>
        <v>FALTAN DATOS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13"/>
    </row>
    <row r="160" spans="1:40" ht="19.5" x14ac:dyDescent="0.4">
      <c r="A160" s="1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>
        <f t="shared" si="6"/>
        <v>0</v>
      </c>
      <c r="U160" s="6"/>
      <c r="V160" s="6">
        <f t="shared" si="7"/>
        <v>0</v>
      </c>
      <c r="W160" s="6"/>
      <c r="X160" s="6">
        <f t="shared" si="8"/>
        <v>0</v>
      </c>
      <c r="Y160" s="6" t="str">
        <f t="shared" si="9"/>
        <v>FALTAN DATOS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13"/>
    </row>
    <row r="161" spans="1:40" ht="19.5" x14ac:dyDescent="0.4">
      <c r="A161" s="1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>
        <f t="shared" si="6"/>
        <v>0</v>
      </c>
      <c r="U161" s="6"/>
      <c r="V161" s="6">
        <f t="shared" si="7"/>
        <v>0</v>
      </c>
      <c r="W161" s="6"/>
      <c r="X161" s="6">
        <f t="shared" si="8"/>
        <v>0</v>
      </c>
      <c r="Y161" s="6" t="str">
        <f t="shared" si="9"/>
        <v>FALTAN DATOS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13"/>
    </row>
    <row r="162" spans="1:40" ht="15.75" x14ac:dyDescent="0.25">
      <c r="A162" s="13"/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1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1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1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ht="1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ht="1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1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</sheetData>
  <autoFilter ref="B13:AM161" xr:uid="{00000000-0009-0000-0000-000000000000}"/>
  <mergeCells count="13">
    <mergeCell ref="A10:A172"/>
    <mergeCell ref="AN10:AN161"/>
    <mergeCell ref="B162:AN172"/>
    <mergeCell ref="B1:C8"/>
    <mergeCell ref="D1:L8"/>
    <mergeCell ref="M1:P8"/>
    <mergeCell ref="B9:C9"/>
    <mergeCell ref="D9:P9"/>
    <mergeCell ref="B10:AM11"/>
    <mergeCell ref="B12:R12"/>
    <mergeCell ref="S12:AB12"/>
    <mergeCell ref="AC12:AH12"/>
    <mergeCell ref="AI12:AM12"/>
  </mergeCells>
  <dataValidations disablePrompts="1" count="10">
    <dataValidation type="list" allowBlank="1" showErrorMessage="1" sqref="U14:U161 W14:W161" xr:uid="{00000000-0002-0000-0000-000000000000}">
      <formula1>$BD$47:$BD$49</formula1>
    </dataValidation>
    <dataValidation type="list" allowBlank="1" showErrorMessage="1" sqref="S14:S161" xr:uid="{00000000-0002-0000-0000-000001000000}">
      <formula1>$BD$43:$BD$45</formula1>
    </dataValidation>
    <dataValidation type="list" allowBlank="1" showErrorMessage="1" sqref="P14:P161" xr:uid="{00000000-0002-0000-0000-000002000000}">
      <formula1>$BD$27:$BD$40</formula1>
    </dataValidation>
    <dataValidation type="list" allowBlank="1" showErrorMessage="1" sqref="E14:E161" xr:uid="{00000000-0002-0000-0000-000003000000}">
      <formula1>$BD$14:$BD$20</formula1>
    </dataValidation>
    <dataValidation type="list" allowBlank="1" showErrorMessage="1" sqref="O14:O161" xr:uid="{00000000-0002-0000-0000-000004000000}">
      <formula1>$BD$23:$BD$25</formula1>
    </dataValidation>
    <dataValidation type="list" allowBlank="1" showErrorMessage="1" sqref="R14:R161" xr:uid="{00000000-0002-0000-0000-000005000000}">
      <formula1>$BD$51:$BD$55</formula1>
    </dataValidation>
    <dataValidation type="list" allowBlank="1" showErrorMessage="1" sqref="AC14:AM14 Z14:Z161 AC15:AC161 AI15:AJ161 AM15:AM161" xr:uid="{00000000-0002-0000-0000-000006000000}">
      <formula1>$BD$62:$BD$64</formula1>
    </dataValidation>
    <dataValidation type="list" allowBlank="1" showErrorMessage="1" sqref="AK15:AK161" xr:uid="{00000000-0002-0000-0000-000007000000}">
      <formula1>$BD$71:$BD$75</formula1>
    </dataValidation>
    <dataValidation type="list" allowBlank="1" showErrorMessage="1" sqref="AA14:AA161" xr:uid="{00000000-0002-0000-0000-000008000000}">
      <formula1>$BD$58:$BD$60</formula1>
    </dataValidation>
    <dataValidation type="list" allowBlank="1" showErrorMessage="1" sqref="AF15:AF161" xr:uid="{00000000-0002-0000-0000-000009000000}">
      <formula1>$BD$67:$BD$69</formula1>
    </dataValidation>
  </dataValidations>
  <pageMargins left="0.70866141732283472" right="0.70866141732283472" top="0.74803149606299213" bottom="0.74803149606299213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Berrio</dc:creator>
  <cp:lastModifiedBy>Tairo Elias Mendoza Piedrahita</cp:lastModifiedBy>
  <dcterms:created xsi:type="dcterms:W3CDTF">2020-06-04T14:46:25Z</dcterms:created>
  <dcterms:modified xsi:type="dcterms:W3CDTF">2026-05-20T14:56:03Z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0x010100EA2C73666AC79C4AA6B79500E49D3B1F</vt:lpwstr>
  </property>
  <property fmtid="{D5CDD505-2E9C-101B-9397-08002B2CF9AE}" pid="3" name="MediaServiceImageTags">
    <vt:lpwstr/>
  </property>
  <property fmtid="{D5CDD505-2E9C-101B-9397-08002B2CF9AE}" pid="4" name="Order">
    <vt:r8>2329900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