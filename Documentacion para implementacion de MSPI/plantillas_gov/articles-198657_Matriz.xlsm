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510" codeName="{00000000-0000-0000-0000-000000000000}"/>
  <workbookPr showInkAnnotation="0" codeName="ThisWorkbook"/>
  <mc:AlternateContent xmlns:mc="http://schemas.openxmlformats.org/markup-compatibility/2006">
    <mc:Choice Requires="x15">
      <x15ac:absPath xmlns:x15ac="http://schemas.microsoft.com/office/spreadsheetml/2010/11/ac" url="/Users/IGAAC/Documents/MNEMO/"/>
    </mc:Choice>
  </mc:AlternateContent>
  <bookViews>
    <workbookView xWindow="0" yWindow="500" windowWidth="28800" windowHeight="15040" activeTab="2"/>
  </bookViews>
  <sheets>
    <sheet name="PRIOSIS" sheetId="5" r:id="rId1"/>
    <sheet name="RACI" sheetId="3" r:id="rId2"/>
    <sheet name="Matriz ICC" sheetId="1" r:id="rId3"/>
    <sheet name="LISTAS" sheetId="2" r:id="rId4"/>
  </sheets>
  <calcPr calcId="150001" concurrentCalc="0"/>
  <customWorkbookViews>
    <customWorkbookView name="PC 2018 - Vista personalizada" guid="{A89CAC3F-7992-424B-A3A7-329E1D522008}" mergeInterval="0" personalView="1" maximized="1" xWindow="-8" yWindow="-8" windowWidth="1382" windowHeight="744" activeSheetId="1"/>
  </customWorkbookViews>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 i="1" l="1"/>
  <c r="O7" i="1"/>
  <c r="O17" i="1"/>
  <c r="N8" i="1"/>
  <c r="O8" i="1"/>
  <c r="N11" i="1"/>
  <c r="O11" i="1"/>
  <c r="N12" i="1"/>
  <c r="O12" i="1"/>
  <c r="N13" i="1"/>
  <c r="O13" i="1"/>
  <c r="N14" i="1"/>
  <c r="O14" i="1"/>
  <c r="N15" i="1"/>
  <c r="O15" i="1"/>
  <c r="N16" i="1"/>
  <c r="O16" i="1"/>
  <c r="N18" i="1"/>
  <c r="O18" i="1"/>
  <c r="N19" i="1"/>
  <c r="O19" i="1"/>
  <c r="N20" i="1"/>
  <c r="O20" i="1"/>
  <c r="N21" i="1"/>
  <c r="O21" i="1"/>
  <c r="D8" i="1"/>
  <c r="D6" i="3"/>
  <c r="N9" i="1"/>
  <c r="O9" i="1"/>
  <c r="N10" i="1"/>
  <c r="O10" i="1"/>
</calcChain>
</file>

<file path=xl/comments1.xml><?xml version="1.0" encoding="utf-8"?>
<comments xmlns="http://schemas.openxmlformats.org/spreadsheetml/2006/main">
  <authors>
    <author>Microsoft Office User</author>
    <author>Camilo</author>
    <author>INVICTUS IDEAS QUE CONECTAN SAS</author>
    <author>Adriana Maria Pedraza Chaparro</author>
  </authors>
  <commentList>
    <comment ref="L3" authorId="0">
      <text>
        <r>
          <rPr>
            <sz val="10"/>
            <color indexed="81"/>
            <rFont val="Calibri"/>
          </rPr>
          <t xml:space="preserve">Consultar "Manual de estructura del Estado colombiano", en https://www.funcionpublica.gov.co/eva/gestornormativo/manual-estado/index.php
</t>
        </r>
      </text>
    </comment>
    <comment ref="A4" authorId="1">
      <text>
        <r>
          <rPr>
            <b/>
            <sz val="9"/>
            <color indexed="81"/>
            <rFont val="Tahoma"/>
            <family val="2"/>
          </rPr>
          <t>Camilo:</t>
        </r>
        <r>
          <rPr>
            <sz val="9"/>
            <color indexed="81"/>
            <rFont val="Tahoma"/>
            <family val="2"/>
          </rPr>
          <t xml:space="preserve">
En esta parte se colocan, todos los subsectores que considera tiene su sector.
Consultar "Manual de estructura del Estado colombiano", en https://www.funcionpublica.gov.co/eva/gestornormativo/manual-estado/index.php</t>
        </r>
      </text>
    </comment>
    <comment ref="A5" authorId="0">
      <text>
        <r>
          <rPr>
            <sz val="10"/>
            <color indexed="81"/>
            <rFont val="Calibri"/>
          </rPr>
          <t>Se recomienda verificar las actividades esenciales en: "Manual de estructura del Estado colombiano", en https://www.funcionpublica.gov.co/eva/gestornormativo/manual-estado/index.php</t>
        </r>
      </text>
    </comment>
    <comment ref="D5" authorId="2">
      <text>
        <r>
          <rPr>
            <b/>
            <sz val="9"/>
            <color indexed="81"/>
            <rFont val="Tahoma"/>
            <family val="2"/>
          </rPr>
          <t>Activos que soportan el servicio prestado. Activos - Serían los elementos tangibles o intangibles que son esenciales para que los sistemas funcionen.</t>
        </r>
      </text>
    </comment>
    <comment ref="F5" authorId="1">
      <text>
        <r>
          <rPr>
            <b/>
            <sz val="9"/>
            <color indexed="81"/>
            <rFont val="Tahoma"/>
            <family val="2"/>
          </rPr>
          <t xml:space="preserve">Se debe clasificar acorde a la clasificación de ciberincidentes de la taxonomia de Colcert  https://www.colcert.gov.co/800/articles-198656_taxonomia.pdf </t>
        </r>
      </text>
    </comment>
    <comment ref="G5" authorId="2">
      <text>
        <r>
          <rPr>
            <sz val="11"/>
            <color theme="1"/>
            <rFont val="Calibri"/>
            <family val="2"/>
            <scheme val="minor"/>
          </rPr>
          <t xml:space="preserve">El tiempo de indisponibilidad luego de controles se expresa en escala de 0 a 5. (Teniendo en cuenta el tiempo que no este disponible el servicio)
Bajo (1) =. El tiempo de indisponibilidad del activo es de 24 horas o menos. 
Moderado (2) = El tiempo de indisponibilidad del activo es de  24 a 72 horas. 
Alto (3) = El tiempo de indisponibilidad del activo es de 72 horas a una semana. 
Extremo (4) = El tiempo de indisponibilidad del activo es superior a una semana o no se puede determinar por su alto impacto 
</t>
        </r>
      </text>
    </comment>
    <comment ref="H5" authorId="2">
      <text>
        <r>
          <rPr>
            <sz val="11"/>
            <color theme="1"/>
            <rFont val="Calibri"/>
            <family val="2"/>
            <scheme val="minor"/>
          </rPr>
          <t xml:space="preserve">Se define como: Esto tendría consecuencias para los roles esenciales de la ICC en un mayor número de las Funciones Críticas Nacionales.
La escala de evaluación se alinea a guía de DAFP se define así: 
• Bajo (1) = Impacto una o ninguna función crítica nacional que afecte su servicio.
• Moderado (2) = Supone un impacto potencial en dos funciones críticas Nacionales con impacto en su organización y otros sectores de apoyo.
• Alto (3) = Tendrá un impacto en tres funciones críticas nacionales, es probable que afecte a otras organizaciones. 
• Extremo (4) = Tendrá un impacto grave en 04 o más funciones críticas nacionales, lo que se refleja en la capacidad operativa de la organización, impacto conocido o previsto en otras organizaciones.
 </t>
        </r>
      </text>
    </comment>
    <comment ref="I5" authorId="2">
      <text>
        <r>
          <rPr>
            <sz val="9"/>
            <color indexed="81"/>
            <rFont val="Tahoma"/>
            <family val="2"/>
          </rPr>
          <t xml:space="preserve">Se basaría en la población afectada por la interrupción del sector. La escala de esta se define con base en el método Hanlon, el cual es una herramienta utilizada en el campo de la salud pública para priorizar problemas de salud y asignar recursos de manera efectiva.  En ese sentido, se toma el componente de magnitud para entender el número de personas afectadas por el problema en relación con la población total. El cual se basa en una estimación a partir de Hanlon, J.J. y Pickent, George E. Public Health Administration and Practice. Ed 8.
• Bajo (1) = 99.999 o menos personas 
• Moderado (2) = de 100.000 a 249.999 personas 
• Alto (3) = de 250.000 a 499.999 persona
• Extremo (4) =Impacto potencial a 500. 000 o más personas 
</t>
        </r>
      </text>
    </comment>
    <comment ref="J5" authorId="2">
      <text>
        <r>
          <rPr>
            <sz val="11"/>
            <color theme="1"/>
            <rFont val="Calibri"/>
            <family val="2"/>
            <scheme val="minor"/>
          </rPr>
          <t xml:space="preserve">Esta variable mide el impacto y alcance en el funcionamiento (servicios de la entidad, teniendo en cuenta la salud pública, área geográfica, entre otros, que se vería afectada en caso de interrupción del servicio de una infraestructura crítica. Se consideran aspectos como la cantidad de usuarios y la distribución geográfica de la infraestructura.
Bajo (1) = Nivel menor: El impacto que causa la materialización del riesgo en los objetivos de la entidad es mínimo. El impacto de la operación es pequeño en el territorio o la entidad.
Moderado (2) = Nivel moderado: La materialización del riesgo puede causar una pérdida momentánea. El impacto afecta momentáneamente pero breve la operación de la entidad y/o en los territorios.
Alto (3) = Nivel mayor: Genera retrasos importantes que afectan el cumplimiento de los objetivos. En esta parte se afecta la operación de la entidad y sus acciones en el territorio.
 Extremo (4) = Nivel catastrófico: Puede detener la operación de la entidad, incluso, tener consecuencias como el cierre definitivo. Afecta la operación total de la entidad y su despliegue en territorio.
</t>
        </r>
      </text>
    </comment>
    <comment ref="K5" authorId="2">
      <text>
        <r>
          <rPr>
            <sz val="11"/>
            <color theme="1"/>
            <rFont val="Calibri"/>
            <family val="2"/>
            <scheme val="minor"/>
          </rPr>
          <t xml:space="preserve">La afectación Económica nacional mide el impacto de un incidente económico en términos del PIB, tomando en cuenta lo siguiente : 
Bajo (1) =Impacto menor al 0,1% del PIB
Moderado (2) = Impacto inferior del 0,1 al 0,5%
Alto (3) = Impacto del 0,5 al 1% del PIB.
Extremo (4) = Impacto mayor al 1% del PIB. 
Lo que se mide de la siguiente manera:
 Impacto económico en porcentaje del PIB = (Valor del impacto económico / PIB) * 100
El impacto se mide según los siguientes datos: 
PIB Colombia de la vigencia: (Vigencia)1,572,459.000.000
Este valor se debe dividir sobre el valor del impacto económico del sector/PIB *100. 
Los datos del PIB enfoque de la producción  se toman del DANE, en la tabla que se adjunta.
</t>
        </r>
      </text>
    </comment>
    <comment ref="L5" authorId="2">
      <text>
        <r>
          <rPr>
            <sz val="11"/>
            <color theme="1"/>
            <rFont val="Calibri"/>
            <family val="2"/>
            <scheme val="minor"/>
          </rPr>
          <t xml:space="preserve">Impacto Nacional del Servicio - Incidentes que podrían afectar al servicio del Estado y otros sectores esenciales o con los que se tenga relación. Impacto de su servicio y la interdependencia con otro sector
Ejemplos:
• Interrupciones
• Tiempo de inactividad
• Averías de equipos
• Problemas de seguridad/catástrofes naturales
• Pérdida de control
• Bajo (1) = Impacto muy bajo en la organización, improbable que afecte a otras organizaciones
• Moderado (2) = Supone un impacto potencial para la organización, posibilidad mínima de impacto para otras organizaciones
• Alto (3) = Tendrá un impacto en la organización, es probable que afecte a otras organizaciones
• Extremo (4) = Tendrá un impacto grave en la capacidad operativa de la organización, impacto conocido o previsto en otras organizaciones.
</t>
        </r>
      </text>
    </comment>
    <comment ref="M5" authorId="2">
      <text>
        <r>
          <rPr>
            <sz val="11"/>
            <color theme="1"/>
            <rFont val="Calibri"/>
            <family val="2"/>
            <scheme val="minor"/>
          </rPr>
          <t xml:space="preserve">Escala de las categorias y definicions de Infraestructura crítica cibernética/ Servicios escenciales: 
1. La ICC todo lo que en la evaluación de entre 2,45 a 4. (Categoría Crítico) - Extremo
2. Servicio Escencial: todo aquel que en la escla se encuentre entre 1,95 y 2,94. (Categoría Escencial) - Alto
3. Servicio no escencial pero con impacto a la seguridad: todo entre 0.95 y 1.94. (Categoría importante) - Moderado
4. Activo que se contempla pero no cumple un impacto a nivel nacional .- Bajo 
</t>
        </r>
      </text>
    </comment>
    <comment ref="F9" authorId="3">
      <text>
        <r>
          <rPr>
            <sz val="11"/>
            <color theme="1"/>
            <rFont val="Calibri"/>
            <family val="2"/>
            <scheme val="minor"/>
          </rPr>
          <t xml:space="preserve">
</t>
        </r>
      </text>
    </comment>
  </commentList>
</comments>
</file>

<file path=xl/sharedStrings.xml><?xml version="1.0" encoding="utf-8"?>
<sst xmlns="http://schemas.openxmlformats.org/spreadsheetml/2006/main" count="393" uniqueCount="241">
  <si>
    <t>Matriz de Priorización Sistemas de información y Aplicaciones</t>
  </si>
  <si>
    <t>Sector</t>
  </si>
  <si>
    <t>Entidad</t>
  </si>
  <si>
    <t>ID</t>
  </si>
  <si>
    <t>Nombre del sistema/aplicativo relevante/activo de información</t>
  </si>
  <si>
    <t>Breve descripción del sistema/aplicativo</t>
  </si>
  <si>
    <t>¿La entidad tiene clasificado el sistema/aplicación como un activo critico?</t>
  </si>
  <si>
    <t>¿Tiene identificada la infraestructura que soporta el sistema/Aplicativo?</t>
  </si>
  <si>
    <t>¿El sistema/aplicativo procesa/almacena datos personales / Sensibles? - ley 1581 de 2012</t>
  </si>
  <si>
    <t>¿El sistema/aplicativo procesa información reservada, secreta, ultra secreta? - Ley 1712 de 2014</t>
  </si>
  <si>
    <t>¿El sistema/aplicativo Soporta los procesos misionales de la entidad?</t>
  </si>
  <si>
    <t xml:space="preserve"> ¿Se causan pérdidas económicas significativas si el sistema/aplicativo deja de funcionar, más allá del RTO?</t>
  </si>
  <si>
    <t>¿Del sistema/aplicativo dependen uno o más sistemas internos?</t>
  </si>
  <si>
    <t>¿Del sistema/aplicativo, o de sus reportes dependen uno o más sistemas externos nacionales?</t>
  </si>
  <si>
    <t>¿El sistema es esencial para las funciones del sector o subsectores al que pertence?</t>
  </si>
  <si>
    <t>¿El sistema es esencial para las funciones de otros sectores o subsectores?</t>
  </si>
  <si>
    <t>El nivel de riesgo de seguridad inherente es:</t>
  </si>
  <si>
    <t>El nivel de riesgo residual de seguridad digital es:</t>
  </si>
  <si>
    <t>SI</t>
  </si>
  <si>
    <t>NO</t>
  </si>
  <si>
    <t>BAJO</t>
  </si>
  <si>
    <t>MEDIO</t>
  </si>
  <si>
    <t>ALTO</t>
  </si>
  <si>
    <t>EXTREMO</t>
  </si>
  <si>
    <t>SIPRA - Sistema de informacion para la planificacion Agrpocuaria</t>
  </si>
  <si>
    <t>Sistema web de acceso que apoya la toma de desiciones. Cuenta con funcionalidades que premiten el descubrimiento y analisis de informacion del sector agropecuario y la contruccion de escenarios de planificaion para el presente y futuro del territorio, como apoyo a la planificacion del sector.</t>
  </si>
  <si>
    <t>X</t>
  </si>
  <si>
    <t>SIOPER</t>
  </si>
  <si>
    <t>Sistema Integrado de Ordenes de Captura, Medidas de Aseguramiento y Antecedentes Penales</t>
  </si>
  <si>
    <t>ACADMUSOF</t>
  </si>
  <si>
    <t xml:space="preserve">Sistema de información academico </t>
  </si>
  <si>
    <t>x</t>
  </si>
  <si>
    <t>Matriz de Asignación de Responsabilidades - RACI</t>
  </si>
  <si>
    <t xml:space="preserve">SECTOR: </t>
  </si>
  <si>
    <t>ENTIDAD:</t>
  </si>
  <si>
    <t>SECTORES</t>
  </si>
  <si>
    <t>R</t>
  </si>
  <si>
    <r>
      <rPr>
        <b/>
        <sz val="12"/>
        <color theme="1"/>
        <rFont val="Times New Roman"/>
        <family val="1"/>
      </rPr>
      <t xml:space="preserve">Responsable (R): </t>
    </r>
    <r>
      <rPr>
        <sz val="12"/>
        <color theme="1"/>
        <rFont val="Times New Roman"/>
      </rPr>
      <t>Quien ejecuta la tarea (solo un único responsable por actividad / Activo para evitar confusión).</t>
    </r>
  </si>
  <si>
    <t>INFRAESTRUCTURA / ACTIVO</t>
  </si>
  <si>
    <t>Alimentación y agricultura </t>
  </si>
  <si>
    <t>Agua </t>
  </si>
  <si>
    <t>Comercio, industria, turismo </t>
  </si>
  <si>
    <t>Defensa </t>
  </si>
  <si>
    <t>Educación </t>
  </si>
  <si>
    <t>Electricidad </t>
  </si>
  <si>
    <t>Financiero </t>
  </si>
  <si>
    <t>Gobierno/Estado</t>
  </si>
  <si>
    <t>Recursos naturales-medio ambiente </t>
  </si>
  <si>
    <t>Recursos minero-energéticos </t>
  </si>
  <si>
    <t>Salud y protección social </t>
  </si>
  <si>
    <t>Tecnologías de la información y comunicaciones </t>
  </si>
  <si>
    <t>Transporte </t>
  </si>
  <si>
    <t>Sector Evento Transitorio  Multifactor  (SETM)(Eventos electorales, deportivos , intenacionales de importancia global, otros)</t>
  </si>
  <si>
    <t>A</t>
  </si>
  <si>
    <r>
      <rPr>
        <b/>
        <sz val="12"/>
        <color theme="1"/>
        <rFont val="Times New Roman"/>
        <family val="1"/>
      </rPr>
      <t xml:space="preserve">Aprobador (A): </t>
    </r>
    <r>
      <rPr>
        <sz val="12"/>
        <color theme="1"/>
        <rFont val="Times New Roman"/>
      </rPr>
      <t>Quien supervisa y aprueba (generalmente uno por actividad, como un regulador o la alta dirección).</t>
    </r>
  </si>
  <si>
    <t>S/I</t>
  </si>
  <si>
    <t>I</t>
  </si>
  <si>
    <t>C</t>
  </si>
  <si>
    <r>
      <rPr>
        <b/>
        <sz val="12"/>
        <color theme="1"/>
        <rFont val="Times New Roman"/>
        <family val="1"/>
      </rPr>
      <t>Consultado (C):</t>
    </r>
    <r>
      <rPr>
        <sz val="12"/>
        <color theme="1"/>
        <rFont val="Times New Roman"/>
      </rPr>
      <t xml:space="preserve"> Quien aporta conocimiento o experiencia (puede haber varios).</t>
    </r>
  </si>
  <si>
    <r>
      <rPr>
        <b/>
        <sz val="12"/>
        <color theme="1"/>
        <rFont val="Times New Roman"/>
        <family val="1"/>
      </rPr>
      <t>Informado (I):</t>
    </r>
    <r>
      <rPr>
        <sz val="12"/>
        <color theme="1"/>
        <rFont val="Times New Roman"/>
      </rPr>
      <t xml:space="preserve"> Quien debe ser actualizado sobre el progreso, pero no interviene directamente (puede haber varios).</t>
    </r>
  </si>
  <si>
    <r>
      <rPr>
        <b/>
        <sz val="12"/>
        <color theme="1"/>
        <rFont val="Times New Roman"/>
        <family val="1"/>
      </rPr>
      <t>Sin Interacción (S/I)</t>
    </r>
    <r>
      <rPr>
        <sz val="12"/>
        <color theme="1"/>
        <rFont val="Times New Roman"/>
      </rPr>
      <t xml:space="preserve"> Que no tiene interacción con la actividad, (puede haber varios).</t>
    </r>
  </si>
  <si>
    <t>DELIMITACIÓN INFRAESTRUCTURA CRÍTICA CIBERNÉTICA</t>
  </si>
  <si>
    <t>ETITC (Escuelta Tecnologica Instituto Tecnico Central)</t>
  </si>
  <si>
    <t>5. Sector Educación</t>
  </si>
  <si>
    <t>Entidades adscritas que hacen parte del sector</t>
  </si>
  <si>
    <t>Sub sector</t>
  </si>
  <si>
    <t xml:space="preserve"> Servicio esencial prestado</t>
  </si>
  <si>
    <t>Categoría de Funciones Críticas Nacionales</t>
  </si>
  <si>
    <t>Funciones Críticas Nacionales</t>
  </si>
  <si>
    <t>Activos Cibernéticos (infraestructura ICC)</t>
  </si>
  <si>
    <t>Pilares de Seguridad de la Información</t>
  </si>
  <si>
    <t>Amenaza  (tipo de incidente)</t>
  </si>
  <si>
    <t>Tiempo de indisponibilidad</t>
  </si>
  <si>
    <t>Impacto en las Funciones Críticas Nacionales</t>
  </si>
  <si>
    <t>Contexto y/o población afectada</t>
  </si>
  <si>
    <t>Impacto operacional</t>
  </si>
  <si>
    <t>Afectación económica nacional</t>
  </si>
  <si>
    <t>Impacto nacional del servicio</t>
  </si>
  <si>
    <t>Definición de ICC</t>
  </si>
  <si>
    <t>Promedio Ponderado</t>
  </si>
  <si>
    <t>Criticidad</t>
  </si>
  <si>
    <t>Promedio</t>
  </si>
  <si>
    <t>9. Seguridad Nacional</t>
  </si>
  <si>
    <t>Administración</t>
  </si>
  <si>
    <t>21.   Proporcionar seguridad pública</t>
  </si>
  <si>
    <t>Confidencialidad</t>
  </si>
  <si>
    <t>4. Acceso no autorizado a información: Usuarios sin permisos acceden a datos.</t>
  </si>
  <si>
    <t>4.        Cumplimiento de la ley/normatividad (Law Enforcement)</t>
  </si>
  <si>
    <t>Disponibilidad</t>
  </si>
  <si>
    <t>3. DoS (Denegación de Servicio): Ataques que buscan hacer que un servicio no esté disponible.</t>
  </si>
  <si>
    <t>12. Provisión del servicio educativo. (CPC – 1991- Artículo 11 al 41)</t>
  </si>
  <si>
    <t>3.        Educación y formación</t>
  </si>
  <si>
    <t>8.        Gestionar la administración pública</t>
  </si>
  <si>
    <t>Integridad</t>
  </si>
  <si>
    <t>3. Pérdida de datos: Puede resultar en la corrupción o eliminación de información.</t>
  </si>
  <si>
    <t>10.  Seguridad alimentaria (CPC – 1991 65 de la Constitución Política de Colombia, modificado por el Acto Legislativo 01 de 2025)</t>
  </si>
  <si>
    <t>Suministro</t>
  </si>
  <si>
    <t>5.        Producción y suministro de productos y servicios agrícolas</t>
  </si>
  <si>
    <t>9. Disponibilidad (Interrupción): Cualquier evento que cause la interrupción del servicio, ya sea intencional o accidental.</t>
  </si>
  <si>
    <t>6.        Producción y suministro de productos y servicios de alimentación humana y animal</t>
  </si>
  <si>
    <t>6. Sabotaje: Daño intencional a sistemas o infraestructura para interrumpir servicios.</t>
  </si>
  <si>
    <t>Otros</t>
  </si>
  <si>
    <t>Conexión/ Comunicación</t>
  </si>
  <si>
    <t>LISTA SERVICIOS ESENCIALES</t>
  </si>
  <si>
    <r>
      <t>1. Obtención de información</t>
    </r>
    <r>
      <rPr>
        <sz val="11"/>
        <color rgb="FF111111"/>
        <rFont val="Segoe UI"/>
        <family val="2"/>
      </rPr>
      <t>: Métodos para acceder a datos sensibles.</t>
    </r>
  </si>
  <si>
    <r>
      <t>1. Correo basura: S</t>
    </r>
    <r>
      <rPr>
        <sz val="11"/>
        <color rgb="FF111111"/>
        <rFont val="Segoe UI"/>
        <family val="2"/>
      </rPr>
      <t xml:space="preserve">aturación de sistemas con mensajes no solicitados.
</t>
    </r>
  </si>
  <si>
    <r>
      <t>1. Uso no autorizado de recursos</t>
    </r>
    <r>
      <rPr>
        <sz val="11"/>
        <color rgb="FF111111"/>
        <rFont val="Segoe UI"/>
        <family val="2"/>
      </rPr>
      <t>: Utilización de recursos sin permiso, que puede alterar datos.</t>
    </r>
  </si>
  <si>
    <r>
      <t>1. Contenido abusivo</t>
    </r>
    <r>
      <rPr>
        <sz val="11"/>
        <color rgb="FF111111"/>
        <rFont val="Segoe UI"/>
        <family val="2"/>
      </rPr>
      <t>: No se clasifica directamente en confidencialidad, disponibilidad o integridad, pero es un problema de seguridad y cumplimiento.</t>
    </r>
  </si>
  <si>
    <t>ConexiónComunicación</t>
  </si>
  <si>
    <t>Distribución</t>
  </si>
  <si>
    <t>1. Suministro, almacenamiento, tratamiento y distribución de agua potable. (Ley 142 de 1994) </t>
  </si>
  <si>
    <r>
      <t>2. Análisis de paquetes (sniffing)</t>
    </r>
    <r>
      <rPr>
        <sz val="11"/>
        <color rgb="FF111111"/>
        <rFont val="Segoe UI"/>
        <family val="2"/>
      </rPr>
      <t>: Interceptación de datos en tránsito.</t>
    </r>
  </si>
  <si>
    <r>
      <t xml:space="preserve">2. Servicios con acceso potencial no deseado: </t>
    </r>
    <r>
      <rPr>
        <sz val="11"/>
        <color rgb="FF111111"/>
        <rFont val="Segoe UI"/>
        <family val="2"/>
      </rPr>
      <t>Servicios expuestos que pueden ser explotados para interrumpir la disponibilidad.</t>
    </r>
  </si>
  <si>
    <r>
      <t>2. Compromiso de aplicaciones</t>
    </r>
    <r>
      <rPr>
        <sz val="11"/>
        <color rgb="FF111111"/>
        <rFont val="Segoe UI"/>
        <family val="2"/>
      </rPr>
      <t>: Vulnerabilidades en aplicaciones que permiten la modificación no autorizada de datos.</t>
    </r>
  </si>
  <si>
    <r>
      <t>2. Delito de odio</t>
    </r>
    <r>
      <rPr>
        <sz val="11"/>
        <color rgb="FF111111"/>
        <rFont val="Segoe UI"/>
        <family val="2"/>
      </rPr>
      <t>: Similar al anterior, es un problema de seguridad y cumplimiento.</t>
    </r>
  </si>
  <si>
    <r>
      <t>1.</t>
    </r>
    <r>
      <rPr>
        <sz val="7"/>
        <color theme="1"/>
        <rFont val="Times New Roman"/>
        <family val="1"/>
      </rPr>
      <t xml:space="preserve">        </t>
    </r>
    <r>
      <rPr>
        <sz val="11"/>
        <color theme="1"/>
        <rFont val="Aptos"/>
        <family val="2"/>
      </rPr>
      <t>Operación del Core Network (Nucleo de la red  operada)</t>
    </r>
  </si>
  <si>
    <r>
      <t>1.</t>
    </r>
    <r>
      <rPr>
        <sz val="7"/>
        <color theme="1"/>
        <rFont val="Times New Roman"/>
        <family val="1"/>
      </rPr>
      <t xml:space="preserve">        </t>
    </r>
    <r>
      <rPr>
        <sz val="11"/>
        <color theme="1"/>
        <rFont val="Aptos"/>
        <family val="2"/>
      </rPr>
      <t>Distribución de electricidad</t>
    </r>
  </si>
  <si>
    <r>
      <t>1.</t>
    </r>
    <r>
      <rPr>
        <sz val="7"/>
        <color theme="1"/>
        <rFont val="Times New Roman"/>
        <family val="1"/>
      </rPr>
      <t xml:space="preserve">        </t>
    </r>
    <r>
      <rPr>
        <sz val="11"/>
        <color theme="1"/>
        <rFont val="Aptos"/>
        <family val="2"/>
      </rPr>
      <t>Celebración de elecciones</t>
    </r>
  </si>
  <si>
    <r>
      <t>1.</t>
    </r>
    <r>
      <rPr>
        <sz val="7"/>
        <color theme="1"/>
        <rFont val="Times New Roman"/>
        <family val="1"/>
      </rPr>
      <t xml:space="preserve">        </t>
    </r>
    <r>
      <rPr>
        <sz val="11"/>
        <color theme="1"/>
        <rFont val="Aptos"/>
        <family val="2"/>
      </rPr>
      <t>Exploración y extracción de combustibles</t>
    </r>
  </si>
  <si>
    <t>2. Drenaje y disposición de aguas residuales. (Ley 142 de 1994)</t>
  </si>
  <si>
    <r>
      <t>3. Ingeniería social</t>
    </r>
    <r>
      <rPr>
        <sz val="11"/>
        <color rgb="FF111111"/>
        <rFont val="Segoe UI"/>
        <family val="2"/>
      </rPr>
      <t>: Manipulación para obtener información confidencial.</t>
    </r>
  </si>
  <si>
    <r>
      <t>3. DoS (Denegación de Servicio)</t>
    </r>
    <r>
      <rPr>
        <sz val="11"/>
        <color rgb="FF111111"/>
        <rFont val="Segoe UI"/>
        <family val="2"/>
      </rPr>
      <t>: Ataques que buscan hacer que un servicio no esté disponible.</t>
    </r>
  </si>
  <si>
    <r>
      <t>3. Pérdida de datos</t>
    </r>
    <r>
      <rPr>
        <sz val="11"/>
        <color rgb="FF111111"/>
        <rFont val="Segoe UI"/>
        <family val="2"/>
      </rPr>
      <t>: Puede resultar en la corrupción o eliminación de información.</t>
    </r>
  </si>
  <si>
    <r>
      <t>3. Materiales de abuso/explotación sexual infantil</t>
    </r>
    <r>
      <rPr>
        <sz val="11"/>
        <color rgb="FF111111"/>
        <rFont val="Segoe UI"/>
        <family val="2"/>
      </rPr>
      <t>: Problema de seguridad y cumplimiento legal.</t>
    </r>
  </si>
  <si>
    <r>
      <t>2.</t>
    </r>
    <r>
      <rPr>
        <sz val="7"/>
        <color theme="1"/>
        <rFont val="Times New Roman"/>
        <family val="1"/>
      </rPr>
      <t xml:space="preserve">        </t>
    </r>
    <r>
      <rPr>
        <sz val="11"/>
        <color theme="1"/>
        <rFont val="Aptos"/>
        <family val="2"/>
      </rPr>
      <t>Prestación de servicios de redes de acceso por cable o redes alambricas.</t>
    </r>
  </si>
  <si>
    <r>
      <t>2.</t>
    </r>
    <r>
      <rPr>
        <sz val="7"/>
        <color theme="1"/>
        <rFont val="Times New Roman"/>
        <family val="1"/>
      </rPr>
      <t xml:space="preserve">        </t>
    </r>
    <r>
      <rPr>
        <sz val="11"/>
        <color theme="1"/>
        <rFont val="Aptos"/>
        <family val="2"/>
      </rPr>
      <t>Mantener las cadenas de suministro</t>
    </r>
  </si>
  <si>
    <r>
      <t>2.</t>
    </r>
    <r>
      <rPr>
        <sz val="7"/>
        <color theme="1"/>
        <rFont val="Times New Roman"/>
        <family val="1"/>
      </rPr>
      <t xml:space="preserve">        </t>
    </r>
    <r>
      <rPr>
        <sz val="11"/>
        <color theme="1"/>
        <rFont val="Aptos"/>
        <family val="2"/>
      </rPr>
      <t>Desarrollar y mantener obras y servicios públicos</t>
    </r>
  </si>
  <si>
    <r>
      <t>2.</t>
    </r>
    <r>
      <rPr>
        <sz val="7"/>
        <color theme="1"/>
        <rFont val="Times New Roman"/>
        <family val="1"/>
      </rPr>
      <t xml:space="preserve">        </t>
    </r>
    <r>
      <rPr>
        <sz val="11"/>
        <color theme="1"/>
        <rFont val="Aptos"/>
        <family val="2"/>
      </rPr>
      <t>Refinación y procesamiento de combustibles</t>
    </r>
  </si>
  <si>
    <t>3. Limpieza, recolección, tratamiento y disposición de residuos. (Ley 142 de 1994) </t>
  </si>
  <si>
    <r>
      <t>4. Acceso no autorizado a información</t>
    </r>
    <r>
      <rPr>
        <sz val="11"/>
        <color rgb="FF111111"/>
        <rFont val="Segoe UI"/>
        <family val="2"/>
      </rPr>
      <t>: Usuarios sin permisos acceden a datos.</t>
    </r>
  </si>
  <si>
    <r>
      <t>4. DDoS (Denegación Distribuida de Servicio)</t>
    </r>
    <r>
      <rPr>
        <sz val="11"/>
        <color rgb="FF111111"/>
        <rFont val="Segoe UI"/>
        <family val="2"/>
      </rPr>
      <t>: Ataques coordinados desde múltiples fuentes para sobrecargar y hacer inaccesible un servicio.</t>
    </r>
  </si>
  <si>
    <r>
      <t>4. Sistemas infectados</t>
    </r>
    <r>
      <rPr>
        <sz val="11"/>
        <color rgb="FF111111"/>
        <rFont val="Segoe UI"/>
        <family val="2"/>
      </rPr>
      <t>: Malware que puede alterar o destruir datos.</t>
    </r>
  </si>
  <si>
    <r>
      <t>4. Derechos de autor</t>
    </r>
    <r>
      <rPr>
        <sz val="11"/>
        <color rgb="FF111111"/>
        <rFont val="Segoe UI"/>
        <family val="2"/>
      </rPr>
      <t>: Relacionado con el cumplimiento legal y la protección de propiedad intelectual.</t>
    </r>
  </si>
  <si>
    <r>
      <t>3.</t>
    </r>
    <r>
      <rPr>
        <sz val="7"/>
        <color theme="1"/>
        <rFont val="Times New Roman"/>
        <family val="1"/>
      </rPr>
      <t xml:space="preserve">        </t>
    </r>
    <r>
      <rPr>
        <sz val="11"/>
        <color theme="1"/>
        <rFont val="Aptos"/>
        <family val="2"/>
      </rPr>
      <t>Prestación de servicios de comunicación e información de contenidos basados en Internet</t>
    </r>
  </si>
  <si>
    <r>
      <t>3.</t>
    </r>
    <r>
      <rPr>
        <sz val="7"/>
        <color theme="1"/>
        <rFont val="Times New Roman"/>
        <family val="1"/>
      </rPr>
      <t xml:space="preserve">        </t>
    </r>
    <r>
      <rPr>
        <sz val="11"/>
        <color theme="1"/>
        <rFont val="Aptos"/>
        <family val="2"/>
      </rPr>
      <t>Transmisión de electricidad</t>
    </r>
  </si>
  <si>
    <r>
      <t>3.</t>
    </r>
    <r>
      <rPr>
        <sz val="7"/>
        <color theme="1"/>
        <rFont val="Times New Roman"/>
        <family val="1"/>
      </rPr>
      <t xml:space="preserve">        </t>
    </r>
    <r>
      <rPr>
        <sz val="11"/>
        <color theme="1"/>
        <rFont val="Aptos"/>
        <family val="2"/>
      </rPr>
      <t>Educación y formación</t>
    </r>
  </si>
  <si>
    <r>
      <t>3.</t>
    </r>
    <r>
      <rPr>
        <sz val="7"/>
        <color theme="1"/>
        <rFont val="Times New Roman"/>
        <family val="1"/>
      </rPr>
      <t xml:space="preserve">        </t>
    </r>
    <r>
      <rPr>
        <sz val="11"/>
        <color theme="1"/>
        <rFont val="Aptos"/>
        <family val="2"/>
      </rPr>
      <t>Generación de electricidad</t>
    </r>
  </si>
  <si>
    <t>4. Suministro y distribución de electricidad. (Ley 142 de 1994)</t>
  </si>
  <si>
    <r>
      <t>5. Fraude</t>
    </r>
    <r>
      <rPr>
        <sz val="11"/>
        <color rgb="FF111111"/>
        <rFont val="Segoe UI"/>
        <family val="2"/>
      </rPr>
      <t>: Engaños para obtener información o recursos.</t>
    </r>
  </si>
  <si>
    <r>
      <t>5. Mala configuración</t>
    </r>
    <r>
      <rPr>
        <sz val="11"/>
        <color rgb="FF111111"/>
        <rFont val="Segoe UI"/>
        <family val="2"/>
      </rPr>
      <t>: Configuraciones incorrectas que pueden impedir el acceso a servicios.</t>
    </r>
  </si>
  <si>
    <r>
      <t>5. Modificación no autorizada de información</t>
    </r>
    <r>
      <rPr>
        <sz val="11"/>
        <color rgb="FF111111"/>
        <rFont val="Segoe UI"/>
        <family val="2"/>
      </rPr>
      <t>: Alteración de datos sin autorización.</t>
    </r>
  </si>
  <si>
    <t>5. Vulnerable (Identificación): Identificación de sistemas o aplicaciones con fallos de seguridad.</t>
  </si>
  <si>
    <r>
      <t>4.</t>
    </r>
    <r>
      <rPr>
        <sz val="7"/>
        <color theme="1"/>
        <rFont val="Times New Roman"/>
        <family val="1"/>
      </rPr>
      <t xml:space="preserve">        </t>
    </r>
    <r>
      <rPr>
        <sz val="11"/>
        <color theme="1"/>
        <rFont val="Aptos"/>
        <family val="2"/>
      </rPr>
      <t>Prestación de servicios de enrutamiento, acceso y conexión a Internet</t>
    </r>
  </si>
  <si>
    <r>
      <t>4.</t>
    </r>
    <r>
      <rPr>
        <sz val="7"/>
        <color theme="1"/>
        <rFont val="Times New Roman"/>
        <family val="1"/>
      </rPr>
      <t xml:space="preserve">        </t>
    </r>
    <r>
      <rPr>
        <sz val="11"/>
        <color theme="1"/>
        <rFont val="Aptos"/>
        <family val="2"/>
      </rPr>
      <t>Transportar carga y pasajeros por aire</t>
    </r>
  </si>
  <si>
    <r>
      <t>4.</t>
    </r>
    <r>
      <rPr>
        <sz val="7"/>
        <color theme="1"/>
        <rFont val="Times New Roman"/>
        <family val="1"/>
      </rPr>
      <t xml:space="preserve">        </t>
    </r>
    <r>
      <rPr>
        <sz val="11"/>
        <color theme="1"/>
        <rFont val="Aptos"/>
        <family val="2"/>
      </rPr>
      <t>Cumplimiento de la ley/normatividad (Law Enforcement)</t>
    </r>
  </si>
  <si>
    <r>
      <t>4.</t>
    </r>
    <r>
      <rPr>
        <sz val="7"/>
        <color theme="1"/>
        <rFont val="Times New Roman"/>
        <family val="1"/>
      </rPr>
      <t xml:space="preserve">        </t>
    </r>
    <r>
      <rPr>
        <sz val="11"/>
        <color theme="1"/>
        <rFont val="Aptos"/>
        <family val="2"/>
      </rPr>
      <t>Manufactura de equipos/materiales/insumos</t>
    </r>
  </si>
  <si>
    <t>5. Suministro, almacenamiento y distribución de gas natural. (Ley 142 de 1994)</t>
  </si>
  <si>
    <r>
      <t>6. Suplantación (Phishing)</t>
    </r>
    <r>
      <rPr>
        <sz val="11"/>
        <color rgb="FF111111"/>
        <rFont val="Segoe UI"/>
        <family val="2"/>
      </rPr>
      <t>: Engañar a los usuarios para que revelen información sensible.</t>
    </r>
  </si>
  <si>
    <r>
      <t>6. Sabotaje</t>
    </r>
    <r>
      <rPr>
        <sz val="11"/>
        <color rgb="FF111111"/>
        <rFont val="Segoe UI"/>
        <family val="2"/>
      </rPr>
      <t>: Daño intencional a sistemas o infraestructura para interrumpir servicios.</t>
    </r>
  </si>
  <si>
    <r>
      <t>6. Compromiso de aplicaciones</t>
    </r>
    <r>
      <rPr>
        <sz val="11"/>
        <color rgb="FF111111"/>
        <rFont val="Segoe UI"/>
        <family val="2"/>
      </rPr>
      <t>: Vulnerabilidades en aplicaciones que permiten la modificación no autorizada de datos.</t>
    </r>
  </si>
  <si>
    <r>
      <t>5.</t>
    </r>
    <r>
      <rPr>
        <sz val="7"/>
        <color theme="1"/>
        <rFont val="Times New Roman"/>
        <family val="1"/>
      </rPr>
      <t xml:space="preserve">        </t>
    </r>
    <r>
      <rPr>
        <sz val="11"/>
        <color theme="1"/>
        <rFont val="Aptos"/>
        <family val="2"/>
      </rPr>
      <t>Prestación de servicios de posicionamiento, navegación y tiempo.</t>
    </r>
  </si>
  <si>
    <r>
      <t>5.</t>
    </r>
    <r>
      <rPr>
        <sz val="7"/>
        <color theme="1"/>
        <rFont val="Times New Roman"/>
        <family val="1"/>
      </rPr>
      <t xml:space="preserve">        </t>
    </r>
    <r>
      <rPr>
        <sz val="11"/>
        <color theme="1"/>
        <rFont val="Aptos"/>
        <family val="2"/>
      </rPr>
      <t>Transportar carga y pasajeros por ferrocarril</t>
    </r>
  </si>
  <si>
    <r>
      <t>5.</t>
    </r>
    <r>
      <rPr>
        <sz val="7"/>
        <color theme="1"/>
        <rFont val="Times New Roman"/>
        <family val="1"/>
      </rPr>
      <t xml:space="preserve">        </t>
    </r>
    <r>
      <rPr>
        <sz val="11"/>
        <color theme="1"/>
        <rFont val="Aptos"/>
        <family val="2"/>
      </rPr>
      <t>Mantener el acceso a los historiales médicos</t>
    </r>
  </si>
  <si>
    <r>
      <t>5.</t>
    </r>
    <r>
      <rPr>
        <sz val="7"/>
        <color theme="1"/>
        <rFont val="Times New Roman"/>
        <family val="1"/>
      </rPr>
      <t xml:space="preserve">        </t>
    </r>
    <r>
      <rPr>
        <sz val="11"/>
        <color theme="1"/>
        <rFont val="Aptos"/>
        <family val="2"/>
      </rPr>
      <t>Producción y suministro de productos y servicios agrícolas</t>
    </r>
  </si>
  <si>
    <t>6. Suministro, almacenamiento y distribución de otros combustibles fósiles. (Ley 142 de 1994)</t>
  </si>
  <si>
    <r>
      <t>7. Servidor C&amp;C (Comando y Control)</t>
    </r>
    <r>
      <rPr>
        <sz val="11"/>
        <color rgb="FF111111"/>
        <rFont val="Segoe UI"/>
        <family val="2"/>
      </rPr>
      <t>: Utilizado para controlar malware y exfiltrar datos.</t>
    </r>
  </si>
  <si>
    <r>
      <t>7. Interrupciones por causas ajenas</t>
    </r>
    <r>
      <rPr>
        <sz val="11"/>
        <color rgb="FF111111"/>
        <rFont val="Segoe UI"/>
        <family val="2"/>
      </rPr>
      <t>: Eventos externos que causan la interrupción del servicio.</t>
    </r>
  </si>
  <si>
    <r>
      <t>7. Sistema vulnerable</t>
    </r>
    <r>
      <rPr>
        <sz val="11"/>
        <color rgb="FF111111"/>
        <rFont val="Segoe UI"/>
        <family val="2"/>
      </rPr>
      <t>: Sistemas con fallos que pueden ser explotados para alterar datos.</t>
    </r>
  </si>
  <si>
    <r>
      <t>6.</t>
    </r>
    <r>
      <rPr>
        <sz val="7"/>
        <color theme="1"/>
        <rFont val="Times New Roman"/>
        <family val="1"/>
      </rPr>
      <t xml:space="preserve">        </t>
    </r>
    <r>
      <rPr>
        <sz val="11"/>
        <color theme="1"/>
        <rFont val="Aptos"/>
        <family val="2"/>
      </rPr>
      <t>Prestación de servicios de redes de acceso de radiodifusión</t>
    </r>
  </si>
  <si>
    <r>
      <t>6.</t>
    </r>
    <r>
      <rPr>
        <sz val="7"/>
        <color theme="1"/>
        <rFont val="Times New Roman"/>
        <family val="1"/>
      </rPr>
      <t xml:space="preserve">        </t>
    </r>
    <r>
      <rPr>
        <sz val="11"/>
        <color theme="1"/>
        <rFont val="Aptos"/>
        <family val="2"/>
      </rPr>
      <t>Transportar carga y pasajeros por carretera</t>
    </r>
  </si>
  <si>
    <r>
      <t>6.</t>
    </r>
    <r>
      <rPr>
        <sz val="7"/>
        <color theme="1"/>
        <rFont val="Times New Roman"/>
        <family val="1"/>
      </rPr>
      <t xml:space="preserve">        </t>
    </r>
    <r>
      <rPr>
        <sz val="11"/>
        <color theme="1"/>
        <rFont val="Aptos"/>
        <family val="2"/>
      </rPr>
      <t>Gestionar los materiales peligrosos</t>
    </r>
  </si>
  <si>
    <r>
      <t>6.</t>
    </r>
    <r>
      <rPr>
        <sz val="7"/>
        <color theme="1"/>
        <rFont val="Times New Roman"/>
        <family val="1"/>
      </rPr>
      <t xml:space="preserve">        </t>
    </r>
    <r>
      <rPr>
        <sz val="11"/>
        <color theme="1"/>
        <rFont val="Aptos"/>
        <family val="2"/>
      </rPr>
      <t>Producción y suministro de productos y servicios de alimentación humana y animal</t>
    </r>
  </si>
  <si>
    <t>7. Telecomunicaciones: Telefonía pública básica conmutada y móvil rural: Servicios de comunicación. (Ley 142 de 1994)</t>
  </si>
  <si>
    <r>
      <t>8. Distribución de malware</t>
    </r>
    <r>
      <rPr>
        <sz val="11"/>
        <color rgb="FF111111"/>
        <rFont val="Segoe UI"/>
        <family val="2"/>
      </rPr>
      <t>: Puede incluir spyware que roba información.</t>
    </r>
  </si>
  <si>
    <r>
      <t>8. Amplificador DDoS</t>
    </r>
    <r>
      <rPr>
        <sz val="11"/>
        <color rgb="FF111111"/>
        <rFont val="Segoe UI"/>
        <family val="2"/>
      </rPr>
      <t>: Uso de servidores mal configurados para amplificar el tráfico de un ataque DDoS.</t>
    </r>
  </si>
  <si>
    <r>
      <t>8. Contenido dañino</t>
    </r>
    <r>
      <rPr>
        <sz val="11"/>
        <color rgb="FF111111"/>
        <rFont val="Segoe UI"/>
        <family val="2"/>
      </rPr>
      <t>: Malware que puede alterar o destruir datos.</t>
    </r>
  </si>
  <si>
    <r>
      <t>7.</t>
    </r>
    <r>
      <rPr>
        <sz val="7"/>
        <color theme="1"/>
        <rFont val="Times New Roman"/>
        <family val="1"/>
      </rPr>
      <t xml:space="preserve">        </t>
    </r>
    <r>
      <rPr>
        <sz val="11"/>
        <color theme="1"/>
        <rFont val="Aptos"/>
        <family val="2"/>
      </rPr>
      <t>Prestación de servicios de redes de acceso por satélite</t>
    </r>
  </si>
  <si>
    <r>
      <t>7.</t>
    </r>
    <r>
      <rPr>
        <sz val="7"/>
        <color theme="1"/>
        <rFont val="Times New Roman"/>
        <family val="1"/>
      </rPr>
      <t xml:space="preserve">        </t>
    </r>
    <r>
      <rPr>
        <sz val="11"/>
        <color theme="1"/>
        <rFont val="Aptos"/>
        <family val="2"/>
      </rPr>
      <t>Transportar carga y pasajeros por barco</t>
    </r>
  </si>
  <si>
    <r>
      <t>7.</t>
    </r>
    <r>
      <rPr>
        <sz val="7"/>
        <color theme="1"/>
        <rFont val="Times New Roman"/>
        <family val="1"/>
      </rPr>
      <t xml:space="preserve">        </t>
    </r>
    <r>
      <rPr>
        <sz val="11"/>
        <color theme="1"/>
        <rFont val="Aptos"/>
        <family val="2"/>
      </rPr>
      <t>Gestionar las aguas residuales</t>
    </r>
  </si>
  <si>
    <r>
      <t>7.</t>
    </r>
    <r>
      <rPr>
        <sz val="7"/>
        <color theme="1"/>
        <rFont val="Times New Roman"/>
        <family val="1"/>
      </rPr>
      <t xml:space="preserve">        </t>
    </r>
    <r>
      <rPr>
        <sz val="11"/>
        <color theme="1"/>
        <rFont val="Aptos"/>
        <family val="2"/>
      </rPr>
      <t>Producción de productos químicos</t>
    </r>
  </si>
  <si>
    <t>8. Otros servicios esenciales (CPC - 1991)</t>
  </si>
  <si>
    <r>
      <t>9. Configuración de malware</t>
    </r>
    <r>
      <rPr>
        <sz val="11"/>
        <color rgb="FF111111"/>
        <rFont val="Segoe UI"/>
        <family val="2"/>
      </rPr>
      <t>: Ajustes que permiten al malware robar datos.</t>
    </r>
  </si>
  <si>
    <r>
      <t>9. Disponibilidad (Interrupción)</t>
    </r>
    <r>
      <rPr>
        <sz val="11"/>
        <color rgb="FF111111"/>
        <rFont val="Segoe UI"/>
        <family val="2"/>
      </rPr>
      <t>: Cualquier evento que cause la interrupción del servicio, ya sea intencional o accidental.</t>
    </r>
  </si>
  <si>
    <r>
      <t>9. APT (Advanced Persistent Threat)</t>
    </r>
    <r>
      <rPr>
        <sz val="11"/>
        <color rgb="FF111111"/>
        <rFont val="Segoe UI"/>
        <family val="2"/>
      </rPr>
      <t>: Ataques prolongados y dirigidos que pueden alterar datos.</t>
    </r>
  </si>
  <si>
    <r>
      <t>8.</t>
    </r>
    <r>
      <rPr>
        <sz val="7"/>
        <color theme="1"/>
        <rFont val="Times New Roman"/>
        <family val="1"/>
      </rPr>
      <t xml:space="preserve">        </t>
    </r>
    <r>
      <rPr>
        <sz val="11"/>
        <color theme="1"/>
        <rFont val="Aptos"/>
        <family val="2"/>
      </rPr>
      <t>Prestación de servicios de redes de acceso inalámbricas</t>
    </r>
  </si>
  <si>
    <r>
      <t>8.</t>
    </r>
    <r>
      <rPr>
        <sz val="7"/>
        <color theme="1"/>
        <rFont val="Times New Roman"/>
        <family val="1"/>
      </rPr>
      <t xml:space="preserve">        </t>
    </r>
    <r>
      <rPr>
        <sz val="11"/>
        <color theme="1"/>
        <rFont val="Aptos"/>
        <family val="2"/>
      </rPr>
      <t xml:space="preserve">Transportar materiales por ductos, oleoductos o gasoductos. </t>
    </r>
  </si>
  <si>
    <r>
      <t>8.</t>
    </r>
    <r>
      <rPr>
        <sz val="7"/>
        <color theme="1"/>
        <rFont val="Times New Roman"/>
        <family val="1"/>
      </rPr>
      <t xml:space="preserve">        </t>
    </r>
    <r>
      <rPr>
        <sz val="11"/>
        <color theme="1"/>
        <rFont val="Aptos"/>
        <family val="2"/>
      </rPr>
      <t>Gestionar la administración pública</t>
    </r>
  </si>
  <si>
    <r>
      <t>8.</t>
    </r>
    <r>
      <rPr>
        <sz val="7"/>
        <color theme="1"/>
        <rFont val="Times New Roman"/>
        <family val="1"/>
      </rPr>
      <t xml:space="preserve">        </t>
    </r>
    <r>
      <rPr>
        <sz val="11"/>
        <color theme="1"/>
        <rFont val="Aptos"/>
        <family val="2"/>
      </rPr>
      <t>Suministro de metales y materiales</t>
    </r>
  </si>
  <si>
    <r>
      <t>10. Robo</t>
    </r>
    <r>
      <rPr>
        <sz val="11"/>
        <color rgb="FF111111"/>
        <rFont val="Segoe UI"/>
        <family val="2"/>
      </rPr>
      <t>: Obtención no autorizada de información.</t>
    </r>
  </si>
  <si>
    <r>
      <t>10. Escaneo de redes</t>
    </r>
    <r>
      <rPr>
        <sz val="11"/>
        <color rgb="FF111111"/>
        <rFont val="Segoe UI"/>
        <family val="2"/>
      </rPr>
      <t>: Puede preceder a ataques que afecten la disponibilidad.</t>
    </r>
  </si>
  <si>
    <r>
      <t>10.</t>
    </r>
    <r>
      <rPr>
        <sz val="7"/>
        <color theme="1"/>
        <rFont val="Times New Roman"/>
        <family val="1"/>
      </rPr>
      <t xml:space="preserve">   </t>
    </r>
    <r>
      <rPr>
        <sz val="11"/>
        <color theme="1"/>
        <rFont val="Aptos"/>
        <family val="2"/>
      </rPr>
      <t>Transporte masivo de pasajeros</t>
    </r>
  </si>
  <si>
    <r>
      <t>9.</t>
    </r>
    <r>
      <rPr>
        <sz val="7"/>
        <color theme="1"/>
        <rFont val="Times New Roman"/>
        <family val="1"/>
      </rPr>
      <t xml:space="preserve">        </t>
    </r>
    <r>
      <rPr>
        <sz val="11"/>
        <color theme="1"/>
        <rFont val="Aptos"/>
        <family val="2"/>
      </rPr>
      <t>Disponer de capacidades de gestión de incidentes cibernéticos</t>
    </r>
  </si>
  <si>
    <r>
      <t>9.</t>
    </r>
    <r>
      <rPr>
        <sz val="7"/>
        <color theme="1"/>
        <rFont val="Times New Roman"/>
        <family val="1"/>
      </rPr>
      <t xml:space="preserve">        </t>
    </r>
    <r>
      <rPr>
        <sz val="11"/>
        <color theme="1"/>
        <rFont val="Aptos"/>
        <family val="2"/>
      </rPr>
      <t>Suministro de viviendas</t>
    </r>
  </si>
  <si>
    <r>
      <t>11. Sistemas infectados</t>
    </r>
    <r>
      <rPr>
        <sz val="11"/>
        <color rgb="FF111111"/>
        <rFont val="Segoe UI"/>
        <family val="2"/>
      </rPr>
      <t>: Pueden ser utilizados para robar datos.</t>
    </r>
  </si>
  <si>
    <r>
      <t>11. Intento de intrusión</t>
    </r>
    <r>
      <rPr>
        <sz val="11"/>
        <color rgb="FF111111"/>
        <rFont val="Segoe UI"/>
        <family val="2"/>
      </rPr>
      <t>: Puede llevar a ataques que interrumpan servicios.</t>
    </r>
  </si>
  <si>
    <r>
      <t>10.</t>
    </r>
    <r>
      <rPr>
        <sz val="7"/>
        <color theme="1"/>
        <rFont val="Times New Roman"/>
        <family val="1"/>
      </rPr>
      <t xml:space="preserve">   </t>
    </r>
    <r>
      <rPr>
        <sz val="11"/>
        <color theme="1"/>
        <rFont val="Aptos"/>
        <family val="2"/>
      </rPr>
      <t>Prepararse para las emergencias y gestionarlas</t>
    </r>
  </si>
  <si>
    <r>
      <t>10.</t>
    </r>
    <r>
      <rPr>
        <sz val="7"/>
        <color theme="1"/>
        <rFont val="Times New Roman"/>
        <family val="1"/>
      </rPr>
      <t xml:space="preserve">   </t>
    </r>
    <r>
      <rPr>
        <sz val="11"/>
        <color theme="1"/>
        <rFont val="Aptos"/>
        <family val="2"/>
      </rPr>
      <t xml:space="preserve"> Suministro de productos y servicios de tecnología de la información</t>
    </r>
  </si>
  <si>
    <r>
      <t>11.</t>
    </r>
    <r>
      <rPr>
        <sz val="7"/>
        <color theme="1"/>
        <rFont val="Times New Roman"/>
        <family val="1"/>
      </rPr>
      <t xml:space="preserve">  </t>
    </r>
    <r>
      <rPr>
        <sz val="11"/>
        <color theme="1"/>
        <rFont val="Times New Roman"/>
        <charset val="1"/>
      </rPr>
      <t>Garantía del acceso a la atención sanitaria y protección de la salud. (CPC – 1991- Artículo 11 al 41) </t>
    </r>
  </si>
  <si>
    <r>
      <t>12. Intento de intrusión</t>
    </r>
    <r>
      <rPr>
        <sz val="11"/>
        <color rgb="FF111111"/>
        <rFont val="Segoe UI"/>
        <family val="2"/>
      </rPr>
      <t>: Intentos de acceder a información sin autorización.</t>
    </r>
  </si>
  <si>
    <r>
      <t>12. Ataque desconocido</t>
    </r>
    <r>
      <rPr>
        <sz val="11"/>
        <color rgb="FF111111"/>
        <rFont val="Segoe UI"/>
        <family val="2"/>
      </rPr>
      <t>: Puede incluir ataques que afecten la disponibilidad.</t>
    </r>
  </si>
  <si>
    <r>
      <t>11.</t>
    </r>
    <r>
      <rPr>
        <sz val="7"/>
        <color theme="1"/>
        <rFont val="Times New Roman"/>
        <family val="1"/>
      </rPr>
      <t xml:space="preserve">   </t>
    </r>
    <r>
      <rPr>
        <sz val="11"/>
        <color theme="1"/>
        <rFont val="Aptos"/>
        <family val="2"/>
      </rPr>
      <t>Preservar los derechos constitucionales</t>
    </r>
  </si>
  <si>
    <r>
      <t>11.</t>
    </r>
    <r>
      <rPr>
        <sz val="7"/>
        <color theme="1"/>
        <rFont val="Times New Roman"/>
        <family val="1"/>
      </rPr>
      <t xml:space="preserve">   </t>
    </r>
    <r>
      <rPr>
        <sz val="11"/>
        <color theme="1"/>
        <rFont val="Aptos"/>
        <family val="2"/>
      </rPr>
      <t>Suministro de material y apoyo operativo a la defensa</t>
    </r>
  </si>
  <si>
    <r>
      <t>13. Explotación de vulnerabilidades conocidas</t>
    </r>
    <r>
      <rPr>
        <sz val="11"/>
        <color rgb="FF111111"/>
        <rFont val="Segoe UI"/>
        <family val="2"/>
      </rPr>
      <t>: Uso de fallos de seguridad para acceder a datos.</t>
    </r>
  </si>
  <si>
    <r>
      <t>13. Intrusión</t>
    </r>
    <r>
      <rPr>
        <sz val="11"/>
        <color rgb="FF111111"/>
        <rFont val="Segoe UI"/>
        <family val="2"/>
      </rPr>
      <t>: Puede resultar en la interrupción de servicios.</t>
    </r>
  </si>
  <si>
    <r>
      <t>12.</t>
    </r>
    <r>
      <rPr>
        <sz val="7"/>
        <color theme="1"/>
        <rFont val="Times New Roman"/>
        <family val="1"/>
      </rPr>
      <t xml:space="preserve">   </t>
    </r>
    <r>
      <rPr>
        <sz val="11"/>
        <color theme="1"/>
        <rFont val="Aptos"/>
        <family val="2"/>
      </rPr>
      <t>Proteger la información confidencial</t>
    </r>
  </si>
  <si>
    <r>
      <t>12.</t>
    </r>
    <r>
      <rPr>
        <sz val="7"/>
        <color theme="1"/>
        <rFont val="Times New Roman"/>
        <family val="1"/>
      </rPr>
      <t xml:space="preserve">   </t>
    </r>
    <r>
      <rPr>
        <sz val="11"/>
        <color theme="1"/>
        <rFont val="Aptos"/>
        <family val="2"/>
      </rPr>
      <t>Investigación y desarrollo</t>
    </r>
  </si>
  <si>
    <t>13. Protección de la población en temas de bienestar social. (CPC – 1991- Artículo 11 al 41)</t>
  </si>
  <si>
    <r>
      <t>14. Intento de acceso con vulneración de credenciales</t>
    </r>
    <r>
      <rPr>
        <sz val="11"/>
        <color rgb="FF111111"/>
        <rFont val="Segoe UI"/>
        <family val="2"/>
      </rPr>
      <t>: Uso de credenciales robadas para acceder a información.</t>
    </r>
  </si>
  <si>
    <r>
      <t>14. Compromiso de aplicaciones</t>
    </r>
    <r>
      <rPr>
        <sz val="11"/>
        <color rgb="FF111111"/>
        <rFont val="Segoe UI"/>
        <family val="2"/>
      </rPr>
      <t>: Vulnerabilidades en aplicaciones que pueden ser explotadas para interrumpir servicios.</t>
    </r>
  </si>
  <si>
    <r>
      <t>13.</t>
    </r>
    <r>
      <rPr>
        <sz val="7"/>
        <color theme="1"/>
        <rFont val="Times New Roman"/>
        <family val="1"/>
      </rPr>
      <t xml:space="preserve">   </t>
    </r>
    <r>
      <rPr>
        <sz val="11"/>
        <color theme="1"/>
        <rFont val="Aptos"/>
        <family val="2"/>
      </rPr>
      <t>Proporcionar y mantener infraestructuras (Fisica)</t>
    </r>
  </si>
  <si>
    <r>
      <t>13.</t>
    </r>
    <r>
      <rPr>
        <sz val="7"/>
        <color theme="1"/>
        <rFont val="Times New Roman"/>
        <family val="1"/>
      </rPr>
      <t xml:space="preserve">   </t>
    </r>
    <r>
      <rPr>
        <sz val="11"/>
        <color theme="1"/>
        <rFont val="Aptos"/>
        <family val="2"/>
      </rPr>
      <t>Suministro de agua</t>
    </r>
  </si>
  <si>
    <t>14. Acciones para la protección y mejora del medio ambiente. (CPC – 1991- Artículo 11 al 41)</t>
  </si>
  <si>
    <r>
      <t>15. Intrusión</t>
    </r>
    <r>
      <rPr>
        <sz val="11"/>
        <color rgb="FF111111"/>
        <rFont val="Segoe UI"/>
        <family val="2"/>
      </rPr>
      <t>: Acceso no autorizado a sistemas y datos.</t>
    </r>
  </si>
  <si>
    <r>
      <t>15. Sistema vulnerable</t>
    </r>
    <r>
      <rPr>
        <sz val="11"/>
        <color rgb="FF111111"/>
        <rFont val="Segoe UI"/>
        <family val="2"/>
      </rPr>
      <t>: Sistemas con fallos que pueden ser explotados para interrumpir servicios.</t>
    </r>
  </si>
  <si>
    <r>
      <t>14.</t>
    </r>
    <r>
      <rPr>
        <sz val="7"/>
        <color theme="1"/>
        <rFont val="Times New Roman"/>
        <family val="1"/>
      </rPr>
      <t xml:space="preserve">   </t>
    </r>
    <r>
      <rPr>
        <sz val="11"/>
        <color theme="1"/>
        <rFont val="Aptos"/>
        <family val="2"/>
      </rPr>
      <t>Prestar servicios de mercados de capitales y actividades de inversión</t>
    </r>
  </si>
  <si>
    <t>15. Garantía de servicios de transporte público para la movilización de personas y bienes. (CPC – 1991- Artículo 11 al 41)</t>
  </si>
  <si>
    <r>
      <t>16. Compromiso de cuenta con privilegios</t>
    </r>
    <r>
      <rPr>
        <sz val="11"/>
        <color rgb="FF111111"/>
        <rFont val="Segoe UI"/>
        <family val="2"/>
      </rPr>
      <t>: Acceso no autorizado a cuentas con altos niveles de permisos.</t>
    </r>
  </si>
  <si>
    <r>
      <t>16. Contenido dañino</t>
    </r>
    <r>
      <rPr>
        <sz val="11"/>
        <color rgb="FF111111"/>
        <rFont val="Segoe UI"/>
        <family val="2"/>
      </rPr>
      <t>: Puede incluir malware que interrumpa servicios.</t>
    </r>
  </si>
  <si>
    <r>
      <t>15.</t>
    </r>
    <r>
      <rPr>
        <sz val="7"/>
        <color theme="1"/>
        <rFont val="Times New Roman"/>
        <family val="1"/>
      </rPr>
      <t xml:space="preserve">   </t>
    </r>
    <r>
      <rPr>
        <sz val="11"/>
        <color theme="1"/>
        <rFont val="Aptos"/>
        <family val="2"/>
      </rPr>
      <t>Prestar servicios de banca comercial y de consumo</t>
    </r>
  </si>
  <si>
    <t>16. Acceso a la administración de justicia para la resolución de conflictos (CPC – 1991- Artículo 11 al 41)</t>
  </si>
  <si>
    <r>
      <t>17. Compromiso de cuenta sin privilegios</t>
    </r>
    <r>
      <rPr>
        <sz val="11"/>
        <color rgb="FF111111"/>
        <rFont val="Segoe UI"/>
        <family val="2"/>
      </rPr>
      <t>: Acceso no autorizado a cuentas con permisos limitados.</t>
    </r>
  </si>
  <si>
    <r>
      <t>17. Incidente no clasificado</t>
    </r>
    <r>
      <rPr>
        <sz val="11"/>
        <color rgb="FF111111"/>
        <rFont val="Segoe UI"/>
        <family val="2"/>
      </rPr>
      <t>: Puede incluir eventos que afecten la disponibilidad.</t>
    </r>
  </si>
  <si>
    <r>
      <t>16.</t>
    </r>
    <r>
      <rPr>
        <sz val="7"/>
        <color theme="1"/>
        <rFont val="Times New Roman"/>
        <family val="1"/>
      </rPr>
      <t xml:space="preserve">   </t>
    </r>
    <r>
      <rPr>
        <sz val="11"/>
        <color theme="1"/>
        <rFont val="Aptos"/>
        <family val="2"/>
      </rPr>
      <t>Prestar servicios de financiación y liquidez</t>
    </r>
  </si>
  <si>
    <r>
      <t>17.</t>
    </r>
    <r>
      <rPr>
        <sz val="7"/>
        <color theme="1"/>
        <rFont val="Times New Roman"/>
        <family val="1"/>
      </rPr>
      <t xml:space="preserve">  </t>
    </r>
    <r>
      <rPr>
        <sz val="11"/>
        <color theme="1"/>
        <rFont val="Times New Roman"/>
        <charset val="1"/>
      </rPr>
      <t>Servicios de comunicación - Internet. (Ley 2108 de 2021, que modifica la Ley 1341 de 2009)</t>
    </r>
  </si>
  <si>
    <r>
      <t>18. Criptografía débil</t>
    </r>
    <r>
      <rPr>
        <sz val="11"/>
        <color rgb="FF111111"/>
        <rFont val="Segoe UI"/>
        <family val="2"/>
      </rPr>
      <t>: Uso de algoritmos de cifrado que pueden ser fácilmente descifrados.</t>
    </r>
  </si>
  <si>
    <r>
      <t>17.</t>
    </r>
    <r>
      <rPr>
        <sz val="7"/>
        <color theme="1"/>
        <rFont val="Times New Roman"/>
        <family val="1"/>
      </rPr>
      <t xml:space="preserve">   </t>
    </r>
    <r>
      <rPr>
        <sz val="11"/>
        <color theme="1"/>
        <rFont val="Aptos"/>
        <family val="2"/>
      </rPr>
      <t>Prestar servicios de gestión de identidad y servicios de apoyo fiduciario asociados</t>
    </r>
  </si>
  <si>
    <t>18. Libertad de prensa y libre expresión (CPC – 1991- Artículos 20 y 73)</t>
  </si>
  <si>
    <r>
      <t>19. APT (Advanced Persistent Threat)</t>
    </r>
    <r>
      <rPr>
        <sz val="11"/>
        <color rgb="FF111111"/>
        <rFont val="Segoe UI"/>
        <family val="2"/>
      </rPr>
      <t>: Ataques prolongados y dirigidos para robar información.</t>
    </r>
  </si>
  <si>
    <r>
      <t>18.</t>
    </r>
    <r>
      <rPr>
        <sz val="7"/>
        <color theme="1"/>
        <rFont val="Times New Roman"/>
        <family val="1"/>
      </rPr>
      <t xml:space="preserve">   </t>
    </r>
    <r>
      <rPr>
        <sz val="11"/>
        <color theme="1"/>
        <rFont val="Aptos"/>
        <family val="2"/>
      </rPr>
      <t>Prestar servicios de seguros</t>
    </r>
  </si>
  <si>
    <t>19. Democracia- Elegir y ser elegido (CPC – 1991- Artículo 40)</t>
  </si>
  <si>
    <r>
      <t>19.</t>
    </r>
    <r>
      <rPr>
        <sz val="7"/>
        <color theme="1"/>
        <rFont val="Times New Roman"/>
        <family val="1"/>
      </rPr>
      <t xml:space="preserve">   </t>
    </r>
    <r>
      <rPr>
        <sz val="11"/>
        <color theme="1"/>
        <rFont val="Aptos"/>
        <family val="2"/>
      </rPr>
      <t>Prestar asistencia médica</t>
    </r>
  </si>
  <si>
    <t>20. Servicios financieros, bursátiles, aseguradoras y otras (CPC – 1991- Artículo 335)</t>
  </si>
  <si>
    <r>
      <t>20.</t>
    </r>
    <r>
      <rPr>
        <sz val="7"/>
        <color theme="1"/>
        <rFont val="Times New Roman"/>
        <family val="1"/>
      </rPr>
      <t xml:space="preserve">   </t>
    </r>
    <r>
      <rPr>
        <sz val="11"/>
        <color theme="1"/>
        <rFont val="Aptos"/>
        <family val="2"/>
      </rPr>
      <t>Prestar servicios de compensación y liquidación de pagos</t>
    </r>
  </si>
  <si>
    <t>21. Servicios de transacciones financieros o bursátiles y otras (CPC – 1991- Artículo 335)</t>
  </si>
  <si>
    <r>
      <t>21.</t>
    </r>
    <r>
      <rPr>
        <sz val="7"/>
        <color theme="1"/>
        <rFont val="Times New Roman"/>
        <family val="1"/>
      </rPr>
      <t xml:space="preserve">   </t>
    </r>
    <r>
      <rPr>
        <sz val="11"/>
        <color theme="1"/>
        <rFont val="Aptos"/>
        <family val="2"/>
      </rPr>
      <t>Proporcionar seguridad pública</t>
    </r>
  </si>
  <si>
    <r>
      <t>22.</t>
    </r>
    <r>
      <rPr>
        <sz val="7"/>
        <color theme="1"/>
        <rFont val="Times New Roman"/>
        <family val="1"/>
      </rPr>
      <t xml:space="preserve">   </t>
    </r>
    <r>
      <rPr>
        <sz val="11"/>
        <color theme="1"/>
        <rFont val="Aptos"/>
        <family val="2"/>
      </rPr>
      <t>Proporcionar financiación mayorista</t>
    </r>
  </si>
  <si>
    <r>
      <t>23.</t>
    </r>
    <r>
      <rPr>
        <sz val="7"/>
        <color theme="1"/>
        <rFont val="Times New Roman"/>
        <family val="1"/>
      </rPr>
      <t xml:space="preserve">   </t>
    </r>
    <r>
      <rPr>
        <sz val="11"/>
        <color theme="1"/>
        <rFont val="Aptos"/>
        <family val="2"/>
      </rPr>
      <t>Almacenar combustible y mantener reservas</t>
    </r>
  </si>
  <si>
    <r>
      <t>24.</t>
    </r>
    <r>
      <rPr>
        <sz val="7"/>
        <color theme="1"/>
        <rFont val="Times New Roman"/>
        <family val="1"/>
      </rPr>
      <t xml:space="preserve">   </t>
    </r>
    <r>
      <rPr>
        <sz val="11"/>
        <color theme="1"/>
        <rFont val="Aptos"/>
        <family val="2"/>
      </rPr>
      <t>Apoyar la salud de la comunidad</t>
    </r>
  </si>
  <si>
    <t>1. Sector Defensa</t>
  </si>
  <si>
    <t>2. Sector Estado / Gobierno</t>
  </si>
  <si>
    <t>3. Sector Recursos Minero-Energético</t>
  </si>
  <si>
    <t>4. Sector Salud y Protección social</t>
  </si>
  <si>
    <t>6. Sector Financiero</t>
  </si>
  <si>
    <t>7. Sector Agua</t>
  </si>
  <si>
    <t>8. Sector transporte</t>
  </si>
  <si>
    <t>9. Sector Comercio, Industria y Turismo</t>
  </si>
  <si>
    <t>10. Sector Medio Ambiente</t>
  </si>
  <si>
    <t>11.Sector  Agricultura</t>
  </si>
  <si>
    <t>12. Sector TIC</t>
  </si>
  <si>
    <t>13. Sector Electricidad</t>
  </si>
  <si>
    <t>14. Sector de Eventos transitorios Multifactor</t>
  </si>
</sst>
</file>

<file path=xl/styles.xml><?xml version="1.0" encoding="utf-8"?>
<styleSheet xmlns="http://schemas.openxmlformats.org/spreadsheetml/2006/main" xmlns:mc="http://schemas.openxmlformats.org/markup-compatibility/2006" xmlns:x14ac="http://schemas.microsoft.com/office/spreadsheetml/2009/9/ac" mc:Ignorable="x14ac">
  <fonts count="35" x14ac:knownFonts="1">
    <font>
      <sz val="11"/>
      <color theme="1"/>
      <name val="Calibri"/>
      <family val="2"/>
      <scheme val="minor"/>
    </font>
    <font>
      <sz val="10"/>
      <color theme="1"/>
      <name val="Calibri"/>
      <family val="2"/>
      <scheme val="minor"/>
    </font>
    <font>
      <b/>
      <sz val="11"/>
      <color rgb="FF000000"/>
      <name val="Arial"/>
      <family val="2"/>
    </font>
    <font>
      <sz val="11"/>
      <color rgb="FF000000"/>
      <name val="Arial"/>
      <family val="2"/>
    </font>
    <font>
      <b/>
      <sz val="12"/>
      <color rgb="FF000000"/>
      <name val="Arial"/>
      <family val="2"/>
    </font>
    <font>
      <b/>
      <sz val="9"/>
      <color indexed="81"/>
      <name val="Tahoma"/>
      <family val="2"/>
    </font>
    <font>
      <sz val="9"/>
      <color indexed="81"/>
      <name val="Tahoma"/>
      <family val="2"/>
    </font>
    <font>
      <sz val="8"/>
      <name val="Calibri"/>
      <family val="2"/>
      <scheme val="minor"/>
    </font>
    <font>
      <b/>
      <sz val="11"/>
      <color rgb="FF111111"/>
      <name val="Segoe UI"/>
      <family val="2"/>
    </font>
    <font>
      <sz val="11"/>
      <color rgb="FF111111"/>
      <name val="Segoe UI"/>
      <family val="2"/>
    </font>
    <font>
      <b/>
      <sz val="11"/>
      <color theme="1"/>
      <name val="Calibri"/>
      <family val="2"/>
      <scheme val="minor"/>
    </font>
    <font>
      <sz val="11"/>
      <color theme="1"/>
      <name val="Aptos"/>
      <family val="2"/>
    </font>
    <font>
      <sz val="7"/>
      <color theme="1"/>
      <name val="Times New Roman"/>
      <family val="1"/>
    </font>
    <font>
      <sz val="10"/>
      <color indexed="81"/>
      <name val="Calibri"/>
    </font>
    <font>
      <sz val="12"/>
      <color theme="1"/>
      <name val="Times New Roman"/>
    </font>
    <font>
      <sz val="11"/>
      <color rgb="FFFF0000"/>
      <name val="Calibri"/>
      <family val="2"/>
      <scheme val="minor"/>
    </font>
    <font>
      <sz val="11"/>
      <color theme="5" tint="-0.499984740745262"/>
      <name val="Calibri"/>
      <family val="2"/>
      <scheme val="minor"/>
    </font>
    <font>
      <sz val="11"/>
      <color theme="9" tint="-0.249977111117893"/>
      <name val="Calibri"/>
      <family val="2"/>
      <scheme val="minor"/>
    </font>
    <font>
      <b/>
      <sz val="11"/>
      <color theme="1"/>
      <name val="Calibri"/>
      <family val="2"/>
      <scheme val="minor"/>
    </font>
    <font>
      <b/>
      <sz val="9"/>
      <color theme="1"/>
      <name val="Calibri"/>
      <family val="2"/>
      <scheme val="minor"/>
    </font>
    <font>
      <sz val="12"/>
      <color theme="1"/>
      <name val="Times New Roman"/>
      <charset val="1"/>
    </font>
    <font>
      <sz val="11"/>
      <color theme="1"/>
      <name val="Times New Roman"/>
      <charset val="1"/>
    </font>
    <font>
      <sz val="11"/>
      <color rgb="FF000000"/>
      <name val="Times New Roman"/>
    </font>
    <font>
      <sz val="11"/>
      <color rgb="FF242424"/>
      <name val="Aptos Narrow"/>
      <charset val="1"/>
    </font>
    <font>
      <b/>
      <sz val="11"/>
      <color rgb="FF000000"/>
      <name val="Arial"/>
    </font>
    <font>
      <sz val="11"/>
      <color rgb="FF000000"/>
      <name val="Arial"/>
    </font>
    <font>
      <sz val="11"/>
      <color rgb="FF000000"/>
      <name val="Calibri"/>
      <charset val="1"/>
    </font>
    <font>
      <b/>
      <sz val="12"/>
      <color theme="1"/>
      <name val="Times New Roman"/>
      <family val="1"/>
    </font>
    <font>
      <sz val="12"/>
      <color theme="1"/>
      <name val="Times New Roman"/>
      <family val="1"/>
    </font>
    <font>
      <b/>
      <sz val="12"/>
      <color theme="1"/>
      <name val="Calibri"/>
      <family val="2"/>
      <scheme val="minor"/>
    </font>
    <font>
      <sz val="12"/>
      <color theme="1"/>
      <name val="Calibri"/>
      <family val="2"/>
      <scheme val="minor"/>
    </font>
    <font>
      <b/>
      <sz val="12"/>
      <color theme="1"/>
      <name val="Arial"/>
      <family val="2"/>
    </font>
    <font>
      <b/>
      <sz val="11"/>
      <color rgb="FF000000"/>
      <name val="Calibri"/>
      <family val="2"/>
    </font>
    <font>
      <b/>
      <sz val="14"/>
      <color theme="1"/>
      <name val="Arial"/>
      <family val="2"/>
      <charset val="1"/>
    </font>
    <font>
      <b/>
      <sz val="14"/>
      <color theme="1"/>
      <name val="Calibri"/>
      <family val="2"/>
      <scheme val="minor"/>
    </font>
  </fonts>
  <fills count="21">
    <fill>
      <patternFill patternType="none"/>
    </fill>
    <fill>
      <patternFill patternType="gray125"/>
    </fill>
    <fill>
      <patternFill patternType="solid">
        <fgColor theme="7"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0"/>
        <bgColor indexed="64"/>
      </patternFill>
    </fill>
    <fill>
      <patternFill patternType="solid">
        <fgColor theme="5"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rgb="FF0070C0"/>
        <bgColor indexed="64"/>
      </patternFill>
    </fill>
    <fill>
      <patternFill patternType="solid">
        <fgColor theme="8" tint="0.39997558519241921"/>
        <bgColor indexed="64"/>
      </patternFill>
    </fill>
    <fill>
      <patternFill patternType="solid">
        <fgColor rgb="FFFFFF00"/>
        <bgColor indexed="64"/>
      </patternFill>
    </fill>
    <fill>
      <patternFill patternType="solid">
        <fgColor theme="5"/>
        <bgColor indexed="64"/>
      </patternFill>
    </fill>
    <fill>
      <patternFill patternType="solid">
        <fgColor rgb="FFC00000"/>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FFFF"/>
        <bgColor indexed="64"/>
      </patternFill>
    </fill>
    <fill>
      <patternFill patternType="solid">
        <fgColor rgb="FFFFD966"/>
        <bgColor rgb="FF000000"/>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style="thin">
        <color auto="1"/>
      </right>
      <top/>
      <bottom/>
      <diagonal/>
    </border>
    <border>
      <left style="thin">
        <color auto="1"/>
      </left>
      <right/>
      <top style="thin">
        <color auto="1"/>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diagonal/>
    </border>
    <border>
      <left/>
      <right style="thin">
        <color auto="1"/>
      </right>
      <top style="thin">
        <color auto="1"/>
      </top>
      <bottom/>
      <diagonal/>
    </border>
    <border>
      <left style="medium">
        <color rgb="FF000000"/>
      </left>
      <right style="thin">
        <color auto="1"/>
      </right>
      <top style="medium">
        <color rgb="FF000000"/>
      </top>
      <bottom style="medium">
        <color rgb="FF000000"/>
      </bottom>
      <diagonal/>
    </border>
    <border>
      <left style="thin">
        <color auto="1"/>
      </left>
      <right/>
      <top/>
      <bottom style="thin">
        <color auto="1"/>
      </bottom>
      <diagonal/>
    </border>
    <border>
      <left style="thin">
        <color rgb="FF000000"/>
      </left>
      <right/>
      <top style="thin">
        <color rgb="FF000000"/>
      </top>
      <bottom style="thin">
        <color rgb="FF000000"/>
      </bottom>
      <diagonal/>
    </border>
    <border>
      <left style="thin">
        <color auto="1"/>
      </left>
      <right style="thin">
        <color rgb="FF000000"/>
      </right>
      <top style="thin">
        <color auto="1"/>
      </top>
      <bottom/>
      <diagonal/>
    </border>
    <border>
      <left style="thin">
        <color auto="1"/>
      </left>
      <right style="thin">
        <color rgb="FF000000"/>
      </right>
      <top/>
      <bottom style="thin">
        <color rgb="FF000000"/>
      </bottom>
      <diagonal/>
    </border>
    <border>
      <left/>
      <right style="thin">
        <color rgb="FF000000"/>
      </right>
      <top style="thin">
        <color auto="1"/>
      </top>
      <bottom/>
      <diagonal/>
    </border>
    <border>
      <left style="thin">
        <color rgb="FF000000"/>
      </left>
      <right style="thin">
        <color rgb="FF000000"/>
      </right>
      <top/>
      <bottom style="thin">
        <color rgb="FF000000"/>
      </bottom>
      <diagonal/>
    </border>
  </borders>
  <cellStyleXfs count="1">
    <xf numFmtId="0" fontId="0" fillId="0" borderId="0"/>
  </cellStyleXfs>
  <cellXfs count="144">
    <xf numFmtId="0" fontId="0" fillId="0" borderId="0" xfId="0"/>
    <xf numFmtId="0" fontId="1" fillId="0" borderId="0" xfId="0" applyFont="1"/>
    <xf numFmtId="0" fontId="1" fillId="0" borderId="0" xfId="0" applyFont="1" applyAlignment="1">
      <alignment horizontal="center"/>
    </xf>
    <xf numFmtId="0" fontId="3" fillId="4"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0" fillId="7" borderId="0" xfId="0" applyFill="1"/>
    <xf numFmtId="0" fontId="0" fillId="7" borderId="0" xfId="0" applyFill="1" applyAlignment="1">
      <alignment vertical="center"/>
    </xf>
    <xf numFmtId="0" fontId="0" fillId="7" borderId="0" xfId="0" applyFill="1" applyAlignment="1">
      <alignment horizontal="center" wrapText="1"/>
    </xf>
    <xf numFmtId="0" fontId="8" fillId="0" borderId="0" xfId="0" applyFont="1" applyAlignment="1">
      <alignment horizontal="left" vertical="center" wrapText="1" indent="1"/>
    </xf>
    <xf numFmtId="0" fontId="0" fillId="7" borderId="0" xfId="0" applyFill="1" applyAlignment="1">
      <alignment vertical="center" wrapText="1"/>
    </xf>
    <xf numFmtId="0" fontId="0" fillId="7" borderId="0" xfId="0" applyFill="1" applyAlignment="1">
      <alignment wrapText="1"/>
    </xf>
    <xf numFmtId="0" fontId="0" fillId="7" borderId="1" xfId="0" applyFill="1" applyBorder="1" applyAlignment="1">
      <alignment wrapText="1"/>
    </xf>
    <xf numFmtId="0" fontId="0" fillId="7" borderId="1" xfId="0" applyFill="1" applyBorder="1"/>
    <xf numFmtId="0" fontId="8" fillId="0" borderId="2" xfId="0" applyFont="1" applyBorder="1" applyAlignment="1">
      <alignment horizontal="center" vertical="center" wrapText="1"/>
    </xf>
    <xf numFmtId="0" fontId="0" fillId="7" borderId="1" xfId="0" applyFill="1" applyBorder="1" applyAlignment="1">
      <alignment vertical="center"/>
    </xf>
    <xf numFmtId="0" fontId="0" fillId="7" borderId="1" xfId="0" applyFill="1" applyBorder="1" applyAlignment="1">
      <alignment vertical="center" wrapText="1"/>
    </xf>
    <xf numFmtId="0" fontId="0" fillId="7" borderId="2" xfId="0" applyFill="1" applyBorder="1" applyAlignment="1">
      <alignment horizontal="center"/>
    </xf>
    <xf numFmtId="0" fontId="0" fillId="7" borderId="2" xfId="0" applyFill="1" applyBorder="1"/>
    <xf numFmtId="0" fontId="0" fillId="7" borderId="2" xfId="0" applyFill="1" applyBorder="1" applyAlignment="1">
      <alignment vertical="center"/>
    </xf>
    <xf numFmtId="0" fontId="8" fillId="0" borderId="3" xfId="0" applyFont="1" applyBorder="1" applyAlignment="1">
      <alignment horizontal="center" vertical="center" wrapText="1"/>
    </xf>
    <xf numFmtId="0" fontId="10" fillId="7" borderId="5" xfId="0" applyFont="1" applyFill="1" applyBorder="1"/>
    <xf numFmtId="0" fontId="8" fillId="0" borderId="6" xfId="0" applyFont="1" applyBorder="1" applyAlignment="1">
      <alignment horizontal="center" vertical="center" wrapText="1"/>
    </xf>
    <xf numFmtId="0" fontId="10" fillId="7" borderId="5" xfId="0" applyFont="1" applyFill="1" applyBorder="1" applyAlignment="1">
      <alignment wrapText="1"/>
    </xf>
    <xf numFmtId="0" fontId="10" fillId="7" borderId="5" xfId="0" applyFont="1" applyFill="1" applyBorder="1" applyAlignment="1">
      <alignment vertical="top" wrapText="1"/>
    </xf>
    <xf numFmtId="0" fontId="8" fillId="0" borderId="3" xfId="0" applyFont="1" applyBorder="1" applyAlignment="1">
      <alignment horizontal="left" vertical="center" wrapText="1" indent="1"/>
    </xf>
    <xf numFmtId="0" fontId="8" fillId="0" borderId="8" xfId="0" applyFont="1" applyBorder="1" applyAlignment="1">
      <alignment horizontal="left" vertical="center" wrapText="1" indent="1"/>
    </xf>
    <xf numFmtId="0" fontId="8" fillId="0" borderId="7" xfId="0" applyFont="1" applyBorder="1" applyAlignment="1">
      <alignment horizontal="left" vertical="center" wrapText="1" indent="1"/>
    </xf>
    <xf numFmtId="0" fontId="11" fillId="0" borderId="3" xfId="0" applyFont="1" applyBorder="1" applyAlignment="1">
      <alignment horizontal="left" vertical="center" wrapText="1" indent="5"/>
    </xf>
    <xf numFmtId="0" fontId="11" fillId="0" borderId="6" xfId="0" applyFont="1" applyBorder="1" applyAlignment="1">
      <alignment horizontal="left" vertical="center" wrapText="1" indent="5"/>
    </xf>
    <xf numFmtId="0" fontId="0" fillId="0" borderId="1" xfId="0" applyBorder="1"/>
    <xf numFmtId="0" fontId="0" fillId="7" borderId="1" xfId="0" applyFill="1" applyBorder="1" applyAlignment="1">
      <alignment horizontal="center" vertical="center"/>
    </xf>
    <xf numFmtId="0" fontId="15" fillId="8" borderId="9" xfId="0" applyFont="1" applyFill="1" applyBorder="1" applyAlignment="1">
      <alignment horizontal="center" vertical="center"/>
    </xf>
    <xf numFmtId="0" fontId="15" fillId="9" borderId="9" xfId="0" applyFont="1" applyFill="1" applyBorder="1" applyAlignment="1">
      <alignment horizontal="center" vertical="center"/>
    </xf>
    <xf numFmtId="0" fontId="16" fillId="2" borderId="9" xfId="0" applyFont="1" applyFill="1" applyBorder="1" applyAlignment="1">
      <alignment horizontal="center" vertical="center"/>
    </xf>
    <xf numFmtId="0" fontId="17" fillId="10" borderId="9" xfId="0" applyFont="1" applyFill="1" applyBorder="1" applyAlignment="1">
      <alignment horizontal="center" vertical="center"/>
    </xf>
    <xf numFmtId="0" fontId="0" fillId="0" borderId="9" xfId="0" applyBorder="1" applyAlignment="1">
      <alignment horizontal="center" vertical="center"/>
    </xf>
    <xf numFmtId="2" fontId="1" fillId="0" borderId="2" xfId="0" applyNumberFormat="1" applyFont="1" applyBorder="1" applyAlignment="1">
      <alignment horizontal="center" vertical="center" wrapText="1"/>
    </xf>
    <xf numFmtId="0" fontId="1" fillId="0" borderId="9" xfId="0" applyFont="1" applyBorder="1" applyAlignment="1">
      <alignment horizontal="center" vertical="center"/>
    </xf>
    <xf numFmtId="0" fontId="1" fillId="11" borderId="0" xfId="0" applyFont="1" applyFill="1"/>
    <xf numFmtId="0" fontId="18" fillId="0" borderId="0" xfId="0" applyFont="1" applyAlignment="1">
      <alignment horizontal="center" vertical="center"/>
    </xf>
    <xf numFmtId="0" fontId="0" fillId="0" borderId="1" xfId="0" applyBorder="1" applyAlignment="1">
      <alignment wrapText="1"/>
    </xf>
    <xf numFmtId="0" fontId="0" fillId="0" borderId="0" xfId="0" applyAlignment="1">
      <alignment wrapText="1"/>
    </xf>
    <xf numFmtId="0" fontId="19" fillId="14" borderId="1" xfId="0" applyFont="1" applyFill="1" applyBorder="1" applyAlignment="1">
      <alignment horizontal="center" vertical="center"/>
    </xf>
    <xf numFmtId="0" fontId="19" fillId="6" borderId="1" xfId="0" applyFont="1" applyFill="1" applyBorder="1" applyAlignment="1">
      <alignment horizontal="center" vertical="center"/>
    </xf>
    <xf numFmtId="0" fontId="19" fillId="15" borderId="1" xfId="0" applyFont="1" applyFill="1" applyBorder="1" applyAlignment="1">
      <alignment horizontal="center" vertical="center"/>
    </xf>
    <xf numFmtId="0" fontId="19" fillId="16" borderId="1" xfId="0" applyFont="1" applyFill="1" applyBorder="1" applyAlignment="1">
      <alignment horizontal="center" vertical="center"/>
    </xf>
    <xf numFmtId="0" fontId="2" fillId="17"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14" borderId="1" xfId="0" applyFill="1" applyBorder="1" applyAlignment="1">
      <alignment horizontal="center" vertical="center"/>
    </xf>
    <xf numFmtId="0" fontId="3" fillId="14" borderId="1" xfId="0" applyFont="1" applyFill="1" applyBorder="1" applyAlignment="1">
      <alignment horizontal="center" vertical="center" wrapText="1"/>
    </xf>
    <xf numFmtId="0" fontId="20" fillId="0" borderId="0" xfId="0" applyFont="1"/>
    <xf numFmtId="0" fontId="21" fillId="19" borderId="0" xfId="0" applyFont="1" applyFill="1"/>
    <xf numFmtId="0" fontId="21" fillId="0" borderId="0" xfId="0" applyFont="1"/>
    <xf numFmtId="0" fontId="22" fillId="19" borderId="0" xfId="0" applyFont="1" applyFill="1" applyAlignment="1">
      <alignment vertical="top"/>
    </xf>
    <xf numFmtId="0" fontId="23" fillId="0" borderId="0" xfId="0" applyFont="1"/>
    <xf numFmtId="0" fontId="0" fillId="0" borderId="9" xfId="0" applyBorder="1" applyAlignment="1">
      <alignment wrapText="1"/>
    </xf>
    <xf numFmtId="0" fontId="0" fillId="0" borderId="2" xfId="0" applyBorder="1" applyAlignment="1">
      <alignment horizontal="center" vertical="center"/>
    </xf>
    <xf numFmtId="0" fontId="0" fillId="0" borderId="4" xfId="0" applyBorder="1" applyAlignment="1">
      <alignment horizontal="center" vertical="center"/>
    </xf>
    <xf numFmtId="0" fontId="0" fillId="7" borderId="9" xfId="0" applyFill="1" applyBorder="1" applyAlignment="1">
      <alignment vertical="center"/>
    </xf>
    <xf numFmtId="0" fontId="0" fillId="7" borderId="4" xfId="0" applyFill="1"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wrapText="1"/>
    </xf>
    <xf numFmtId="0" fontId="10" fillId="18" borderId="1" xfId="0" applyFont="1" applyFill="1" applyBorder="1" applyAlignment="1">
      <alignment horizontal="center" vertical="center"/>
    </xf>
    <xf numFmtId="0" fontId="10" fillId="6" borderId="1" xfId="0" applyFont="1" applyFill="1" applyBorder="1" applyAlignment="1">
      <alignment horizontal="center" vertical="center"/>
    </xf>
    <xf numFmtId="0" fontId="10" fillId="13" borderId="1" xfId="0" applyFont="1" applyFill="1" applyBorder="1" applyAlignment="1">
      <alignment horizontal="center" vertical="center"/>
    </xf>
    <xf numFmtId="0" fontId="0" fillId="0" borderId="9" xfId="0" applyBorder="1" applyAlignment="1">
      <alignment vertical="center" wrapText="1"/>
    </xf>
    <xf numFmtId="0" fontId="25" fillId="3" borderId="1" xfId="0" applyFont="1" applyFill="1" applyBorder="1" applyAlignment="1">
      <alignment horizontal="center" vertical="center" wrapText="1"/>
    </xf>
    <xf numFmtId="0" fontId="24" fillId="17" borderId="1" xfId="0" applyFont="1" applyFill="1" applyBorder="1" applyAlignment="1">
      <alignment horizontal="center" vertical="center" wrapText="1"/>
    </xf>
    <xf numFmtId="0" fontId="25" fillId="4" borderId="1" xfId="0" applyFont="1" applyFill="1" applyBorder="1" applyAlignment="1">
      <alignment horizontal="center" vertical="center" wrapText="1"/>
    </xf>
    <xf numFmtId="0" fontId="25" fillId="14" borderId="1" xfId="0" applyFont="1" applyFill="1" applyBorder="1" applyAlignment="1">
      <alignment horizontal="center" vertical="center" wrapText="1"/>
    </xf>
    <xf numFmtId="0" fontId="0" fillId="0" borderId="9" xfId="0" applyBorder="1" applyAlignment="1">
      <alignment vertical="center"/>
    </xf>
    <xf numFmtId="0" fontId="0" fillId="7" borderId="9" xfId="0" applyFill="1" applyBorder="1" applyAlignment="1">
      <alignment horizontal="center" vertical="center"/>
    </xf>
    <xf numFmtId="0" fontId="0" fillId="7" borderId="13" xfId="0" applyFill="1" applyBorder="1" applyAlignment="1">
      <alignment horizontal="center" vertical="center"/>
    </xf>
    <xf numFmtId="0" fontId="0" fillId="0" borderId="12" xfId="0" applyBorder="1" applyAlignment="1">
      <alignment vertical="center"/>
    </xf>
    <xf numFmtId="0" fontId="26" fillId="0" borderId="9" xfId="0" applyFont="1" applyBorder="1" applyAlignment="1">
      <alignment vertical="center"/>
    </xf>
    <xf numFmtId="0" fontId="10" fillId="0" borderId="1" xfId="0" applyFont="1" applyBorder="1" applyAlignment="1">
      <alignment horizontal="center" vertical="center"/>
    </xf>
    <xf numFmtId="0" fontId="10" fillId="0" borderId="1" xfId="0" applyFont="1" applyBorder="1" applyAlignment="1">
      <alignment horizontal="center" vertical="center" wrapText="1"/>
    </xf>
    <xf numFmtId="0" fontId="10" fillId="0" borderId="0" xfId="0" applyFont="1" applyAlignment="1">
      <alignment horizontal="center" vertical="center"/>
    </xf>
    <xf numFmtId="0" fontId="10" fillId="0" borderId="0" xfId="0" applyFont="1"/>
    <xf numFmtId="0" fontId="10" fillId="2" borderId="1" xfId="0" applyFont="1" applyFill="1" applyBorder="1" applyAlignment="1">
      <alignment horizontal="center" vertical="center" wrapText="1"/>
    </xf>
    <xf numFmtId="0" fontId="28" fillId="0" borderId="9" xfId="0" applyFont="1" applyBorder="1" applyAlignment="1">
      <alignment horizontal="justify" vertical="center"/>
    </xf>
    <xf numFmtId="0" fontId="29" fillId="0" borderId="0" xfId="0" applyFont="1"/>
    <xf numFmtId="0" fontId="0" fillId="0" borderId="0" xfId="0" applyAlignment="1">
      <alignment horizontal="center" vertical="center" wrapText="1"/>
    </xf>
    <xf numFmtId="0" fontId="0" fillId="7" borderId="0" xfId="0" applyFill="1" applyAlignment="1">
      <alignment horizontal="center" vertical="center"/>
    </xf>
    <xf numFmtId="0" fontId="4" fillId="6" borderId="1" xfId="0" applyFont="1" applyFill="1" applyBorder="1" applyAlignment="1">
      <alignment horizontal="center" vertical="center" wrapText="1"/>
    </xf>
    <xf numFmtId="0" fontId="30" fillId="4" borderId="1" xfId="0" applyFont="1" applyFill="1" applyBorder="1" applyAlignment="1">
      <alignment horizontal="center"/>
    </xf>
    <xf numFmtId="0" fontId="4" fillId="2" borderId="1" xfId="0" applyFont="1" applyFill="1" applyBorder="1" applyAlignment="1">
      <alignment horizontal="center" vertical="center" wrapText="1"/>
    </xf>
    <xf numFmtId="0" fontId="21" fillId="19" borderId="1" xfId="0" applyFont="1" applyFill="1" applyBorder="1"/>
    <xf numFmtId="0" fontId="23" fillId="0" borderId="1" xfId="0" applyFont="1" applyBorder="1"/>
    <xf numFmtId="0" fontId="21" fillId="0" borderId="1" xfId="0" applyFont="1" applyBorder="1"/>
    <xf numFmtId="0" fontId="10" fillId="7" borderId="1" xfId="0" applyFont="1" applyFill="1" applyBorder="1" applyAlignment="1">
      <alignment horizontal="center"/>
    </xf>
    <xf numFmtId="0" fontId="10" fillId="2" borderId="14"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0" fillId="7" borderId="11" xfId="0" applyFill="1" applyBorder="1" applyAlignment="1">
      <alignment horizontal="center" vertical="center"/>
    </xf>
    <xf numFmtId="0" fontId="4" fillId="6" borderId="9"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25" fillId="4" borderId="9" xfId="0" applyFont="1" applyFill="1" applyBorder="1" applyAlignment="1">
      <alignment horizontal="center" vertical="center" wrapText="1"/>
    </xf>
    <xf numFmtId="0" fontId="1" fillId="0" borderId="9" xfId="0" applyFont="1" applyBorder="1"/>
    <xf numFmtId="0" fontId="3" fillId="3" borderId="2" xfId="0" applyFont="1" applyFill="1" applyBorder="1" applyAlignment="1">
      <alignment horizontal="center" vertical="center" wrapText="1"/>
    </xf>
    <xf numFmtId="0" fontId="25" fillId="3" borderId="2"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3" fillId="4" borderId="4" xfId="0" applyFont="1" applyFill="1" applyBorder="1" applyAlignment="1">
      <alignment horizontal="center" vertical="center" wrapText="1"/>
    </xf>
    <xf numFmtId="0" fontId="25" fillId="4" borderId="4" xfId="0" applyFont="1" applyFill="1" applyBorder="1" applyAlignment="1">
      <alignment horizontal="center" vertical="center" wrapText="1"/>
    </xf>
    <xf numFmtId="2" fontId="29" fillId="0" borderId="11" xfId="0" applyNumberFormat="1" applyFont="1" applyBorder="1" applyAlignment="1">
      <alignment vertical="center" wrapText="1"/>
    </xf>
    <xf numFmtId="0" fontId="30" fillId="4" borderId="11" xfId="0" applyFont="1" applyFill="1" applyBorder="1" applyAlignment="1">
      <alignment horizontal="center"/>
    </xf>
    <xf numFmtId="0" fontId="4" fillId="4" borderId="3" xfId="0" applyFont="1" applyFill="1" applyBorder="1" applyAlignment="1">
      <alignment vertical="center"/>
    </xf>
    <xf numFmtId="0" fontId="4" fillId="4" borderId="4" xfId="0" applyFont="1" applyFill="1" applyBorder="1" applyAlignment="1">
      <alignment vertical="center"/>
    </xf>
    <xf numFmtId="0" fontId="30" fillId="4" borderId="7" xfId="0" applyFont="1" applyFill="1" applyBorder="1" applyAlignment="1">
      <alignment horizontal="center"/>
    </xf>
    <xf numFmtId="0" fontId="1" fillId="0" borderId="16" xfId="0" applyFont="1" applyBorder="1" applyAlignment="1">
      <alignment horizontal="center" vertical="center"/>
    </xf>
    <xf numFmtId="0" fontId="0" fillId="0" borderId="10" xfId="0" applyBorder="1" applyAlignment="1">
      <alignment wrapText="1"/>
    </xf>
    <xf numFmtId="0" fontId="23" fillId="0" borderId="9" xfId="0" applyFont="1" applyBorder="1"/>
    <xf numFmtId="0" fontId="0" fillId="7" borderId="12" xfId="0" applyFill="1" applyBorder="1" applyAlignment="1">
      <alignment vertical="center"/>
    </xf>
    <xf numFmtId="0" fontId="0" fillId="7" borderId="20" xfId="0" applyFill="1" applyBorder="1" applyAlignment="1">
      <alignment vertical="center" wrapText="1"/>
    </xf>
    <xf numFmtId="0" fontId="33" fillId="0" borderId="0" xfId="0" applyFont="1"/>
    <xf numFmtId="0" fontId="34" fillId="0" borderId="0" xfId="0" applyFont="1"/>
    <xf numFmtId="0" fontId="3" fillId="4" borderId="16" xfId="0" applyFont="1" applyFill="1" applyBorder="1" applyAlignment="1">
      <alignment horizontal="center" vertical="center" wrapText="1"/>
    </xf>
    <xf numFmtId="0" fontId="25" fillId="4" borderId="16" xfId="0" applyFont="1" applyFill="1" applyBorder="1" applyAlignment="1">
      <alignment horizontal="center" vertical="center" wrapText="1"/>
    </xf>
    <xf numFmtId="0" fontId="1" fillId="0" borderId="16" xfId="0" applyFont="1" applyBorder="1"/>
    <xf numFmtId="0" fontId="4" fillId="2" borderId="13" xfId="0" applyFont="1" applyFill="1" applyBorder="1" applyAlignment="1">
      <alignment horizontal="center" vertical="center" wrapText="1"/>
    </xf>
    <xf numFmtId="0" fontId="10" fillId="12" borderId="1" xfId="0" applyFont="1" applyFill="1" applyBorder="1" applyAlignment="1">
      <alignment horizontal="center" vertical="center"/>
    </xf>
    <xf numFmtId="0" fontId="10" fillId="2" borderId="1" xfId="0" applyFont="1" applyFill="1" applyBorder="1" applyAlignment="1">
      <alignment horizontal="center" vertical="center" wrapText="1"/>
    </xf>
    <xf numFmtId="0" fontId="10" fillId="11" borderId="1" xfId="0" applyFont="1" applyFill="1" applyBorder="1" applyAlignment="1">
      <alignment horizontal="center" vertical="center" wrapText="1"/>
    </xf>
    <xf numFmtId="0" fontId="32" fillId="20" borderId="8" xfId="0" applyFont="1" applyFill="1" applyBorder="1" applyAlignment="1">
      <alignment horizontal="center" wrapText="1"/>
    </xf>
    <xf numFmtId="0" fontId="32" fillId="20" borderId="6" xfId="0" applyFont="1" applyFill="1" applyBorder="1" applyAlignment="1">
      <alignment horizontal="center" wrapText="1"/>
    </xf>
    <xf numFmtId="0" fontId="32" fillId="20" borderId="19" xfId="0" applyFont="1" applyFill="1" applyBorder="1" applyAlignment="1">
      <alignment horizontal="center" wrapText="1"/>
    </xf>
    <xf numFmtId="0" fontId="4" fillId="2" borderId="9"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4" fillId="2" borderId="18" xfId="0" applyFont="1" applyFill="1" applyBorder="1" applyAlignment="1">
      <alignment horizontal="center" vertical="center" wrapText="1"/>
    </xf>
    <xf numFmtId="0" fontId="31" fillId="4" borderId="2" xfId="0" applyFont="1" applyFill="1" applyBorder="1" applyAlignment="1">
      <alignment horizontal="center" vertical="center"/>
    </xf>
    <xf numFmtId="0" fontId="31" fillId="4" borderId="3" xfId="0" applyFont="1" applyFill="1" applyBorder="1" applyAlignment="1">
      <alignment horizontal="center" vertical="center"/>
    </xf>
    <xf numFmtId="0" fontId="31" fillId="4" borderId="4" xfId="0" applyFont="1" applyFill="1" applyBorder="1" applyAlignment="1">
      <alignment horizontal="center" vertical="center"/>
    </xf>
    <xf numFmtId="0" fontId="4" fillId="5" borderId="1"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9" xfId="0" applyFont="1" applyFill="1" applyBorder="1" applyAlignment="1">
      <alignment horizontal="center" vertical="center"/>
    </xf>
  </cellXfs>
  <cellStyles count="1">
    <cellStyle name="Normal" xfId="0" builtinId="0"/>
  </cellStyles>
  <dxfs count="153">
    <dxf>
      <font>
        <b val="0"/>
        <i val="0"/>
        <strike val="0"/>
        <condense val="0"/>
        <extend val="0"/>
        <outline val="0"/>
        <shadow val="0"/>
        <u val="none"/>
        <vertAlign val="baseline"/>
        <sz val="11"/>
        <color theme="1"/>
        <name val="Aptos"/>
        <scheme val="none"/>
      </font>
      <alignment horizontal="left" vertical="center" textRotation="0" wrapText="1" indent="5"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scheme val="none"/>
      </font>
      <alignment horizontal="left" vertical="center" textRotation="0" wrapText="1" indent="5"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dxf>
    <dxf>
      <font>
        <b val="0"/>
        <i val="0"/>
        <strike val="0"/>
        <condense val="0"/>
        <extend val="0"/>
        <outline val="0"/>
        <shadow val="0"/>
        <u val="none"/>
        <vertAlign val="baseline"/>
        <sz val="11"/>
        <color theme="1"/>
        <name val="Aptos"/>
        <scheme val="none"/>
      </font>
      <alignment horizontal="left" vertical="center" textRotation="0" wrapText="1" indent="5"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scheme val="none"/>
      </font>
      <alignment horizontal="left" vertical="center" textRotation="0" wrapText="1" indent="5"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dxf>
    <dxf>
      <font>
        <b/>
        <i val="0"/>
        <strike val="0"/>
        <condense val="0"/>
        <extend val="0"/>
        <outline val="0"/>
        <shadow val="0"/>
        <u val="none"/>
        <vertAlign val="baseline"/>
        <sz val="11"/>
        <color rgb="FF111111"/>
        <name val="Segoe UI"/>
        <scheme val="none"/>
      </font>
      <alignment horizontal="left" vertical="center" textRotation="0" wrapText="1" indent="1" justifyLastLine="0" shrinkToFit="0" readingOrder="0"/>
      <border diagonalUp="0" diagonalDown="0">
        <left/>
        <right/>
        <top style="thin">
          <color indexed="64"/>
        </top>
        <bottom style="thin">
          <color indexed="64"/>
        </bottom>
        <vertical/>
        <horizontal/>
      </border>
    </dxf>
    <dxf>
      <border outline="0">
        <top style="thin">
          <color indexed="64"/>
        </top>
      </border>
    </dxf>
    <dxf>
      <border outline="0">
        <right style="thin">
          <color indexed="64"/>
        </right>
        <top style="thin">
          <color indexed="64"/>
        </top>
        <bottom style="thin">
          <color indexed="64"/>
        </bottom>
      </border>
    </dxf>
    <dxf>
      <font>
        <b/>
        <i val="0"/>
        <strike val="0"/>
        <condense val="0"/>
        <extend val="0"/>
        <outline val="0"/>
        <shadow val="0"/>
        <u val="none"/>
        <vertAlign val="baseline"/>
        <sz val="11"/>
        <color rgb="FF111111"/>
        <name val="Segoe UI"/>
        <scheme val="none"/>
      </font>
      <alignment horizontal="left" vertical="center" textRotation="0" wrapText="1" indent="1"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general" vertical="bottom" textRotation="0" wrapText="1" indent="0" justifyLastLine="0" shrinkToFit="0" readingOrder="0"/>
    </dxf>
    <dxf>
      <font>
        <b/>
        <i val="0"/>
        <strike val="0"/>
        <condense val="0"/>
        <extend val="0"/>
        <outline val="0"/>
        <shadow val="0"/>
        <u val="none"/>
        <vertAlign val="baseline"/>
        <sz val="11"/>
        <color rgb="FF111111"/>
        <name val="Segoe UI"/>
        <scheme val="none"/>
      </font>
      <alignment horizontal="center" vertical="center"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11111"/>
        <name val="Segoe UI"/>
        <scheme val="none"/>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general" vertical="top" textRotation="0" wrapText="1" indent="0" justifyLastLine="0" shrinkToFit="0" readingOrder="0"/>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font>
        <strike val="0"/>
        <outline val="0"/>
        <shadow val="0"/>
        <u val="none"/>
        <vertAlign val="baseline"/>
        <sz val="11"/>
      </font>
      <fill>
        <patternFill patternType="solid">
          <fgColor indexed="64"/>
          <bgColor theme="0"/>
        </patternFill>
      </fill>
      <alignment horizontal="center" vertical="bottom" textRotation="0" wrapText="1" indent="0" justifyLastLine="0" shrinkToFit="0" readingOrder="0"/>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border diagonalUp="0" diagonalDown="0">
        <left style="medium">
          <color rgb="FF92D050"/>
        </left>
        <right style="medium">
          <color rgb="FF92D050"/>
        </right>
        <top style="medium">
          <color rgb="FF92D050"/>
        </top>
        <bottom style="medium">
          <color rgb="FF92D050"/>
        </bottom>
      </border>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font>
        <strike val="0"/>
        <outline val="0"/>
        <shadow val="0"/>
        <u val="none"/>
        <vertAlign val="baseline"/>
        <sz val="11"/>
      </font>
      <fill>
        <patternFill>
          <fgColor indexed="64"/>
          <bgColor theme="0"/>
        </patternFill>
      </fill>
      <alignment horizontal="center" vertical="bottom" textRotation="0" wrapText="0" indent="0" justifyLastLine="0" shrinkToFit="0" readingOrder="0"/>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border diagonalUp="0" diagonalDown="0">
        <left style="medium">
          <color rgb="FF92D050"/>
        </left>
        <right style="medium">
          <color rgb="FF92D050"/>
        </right>
        <top style="medium">
          <color rgb="FF92D050"/>
        </top>
        <bottom style="medium">
          <color rgb="FF92D050"/>
        </bottom>
      </border>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font>
        <strike val="0"/>
        <outline val="0"/>
        <shadow val="0"/>
        <u val="none"/>
        <vertAlign val="baseline"/>
        <sz val="11"/>
      </font>
      <fill>
        <patternFill>
          <fgColor indexed="64"/>
          <bgColor theme="0"/>
        </patternFill>
      </fill>
      <alignment horizontal="center" vertical="bottom" textRotation="0" wrapText="1" indent="0" justifyLastLine="0" shrinkToFit="0" readingOrder="0"/>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border diagonalUp="0" diagonalDown="0">
        <left style="medium">
          <color rgb="FF92D050"/>
        </left>
        <right style="medium">
          <color rgb="FF92D050"/>
        </right>
        <top style="medium">
          <color rgb="FF92D050"/>
        </top>
        <bottom style="medium">
          <color rgb="FF92D050"/>
        </bottom>
      </border>
    </dxf>
    <dxf>
      <font>
        <b/>
        <strike val="0"/>
        <outline val="0"/>
        <shadow val="0"/>
        <u val="none"/>
        <vertAlign val="baseline"/>
        <sz val="11"/>
        <color rgb="FF111111"/>
        <name val="Segoe UI"/>
        <scheme val="none"/>
      </font>
      <fill>
        <patternFill patternType="solid">
          <fgColor indexed="64"/>
          <bgColor theme="0"/>
        </patternFill>
      </fill>
      <alignment horizontal="left" vertical="center" textRotation="0" wrapText="1" indent="1" justifyLastLine="0" shrinkToFit="0" readingOrder="0"/>
    </dxf>
    <dxf>
      <font>
        <strike val="0"/>
        <outline val="0"/>
        <shadow val="0"/>
        <u val="none"/>
        <vertAlign val="baseline"/>
        <sz val="11"/>
      </font>
      <fill>
        <patternFill>
          <fgColor indexed="64"/>
          <bgColor theme="0"/>
        </patternFill>
      </fill>
      <alignment horizontal="center" vertical="bottom" textRotation="0" wrapText="1" indent="0" justifyLastLine="0" shrinkToFit="0" readingOrder="0"/>
    </dxf>
    <dxf>
      <font>
        <color theme="0"/>
      </font>
      <fill>
        <patternFill patternType="solid">
          <bgColor rgb="FFFF0000"/>
        </patternFill>
      </fill>
    </dxf>
    <dxf>
      <font>
        <color rgb="FF9C0006"/>
      </font>
      <fill>
        <patternFill patternType="solid">
          <bgColor rgb="FFFFC000"/>
        </patternFill>
      </fill>
    </dxf>
    <dxf>
      <font>
        <color theme="7" tint="-0.249977111117893"/>
      </font>
      <fill>
        <patternFill patternType="solid">
          <bgColor rgb="FFFFFF00"/>
        </patternFill>
      </fill>
    </dxf>
    <dxf>
      <font>
        <color rgb="FF006100"/>
      </font>
      <fill>
        <patternFill patternType="solid">
          <bgColor rgb="FF92D050"/>
        </patternFill>
      </fill>
    </dxf>
    <dxf>
      <font>
        <color rgb="FFFFC000"/>
      </font>
      <fill>
        <patternFill patternType="solid">
          <bgColor rgb="FFFFFF00"/>
        </patternFill>
      </fill>
    </dxf>
    <dxf>
      <font>
        <color theme="5" tint="0.79998168889431442"/>
      </font>
      <fill>
        <patternFill patternType="solid">
          <bgColor rgb="FFFF0000"/>
        </patternFill>
      </fill>
    </dxf>
    <dxf>
      <font>
        <color rgb="FFFF0000"/>
      </font>
      <fill>
        <patternFill patternType="solid">
          <bgColor rgb="FFFFC000"/>
        </patternFill>
      </fill>
    </dxf>
    <dxf>
      <font>
        <color rgb="FF00B050"/>
      </font>
      <fill>
        <patternFill patternType="solid">
          <bgColor rgb="FF92D050"/>
        </patternFill>
      </fill>
    </dxf>
    <dxf>
      <font>
        <color rgb="FF00B050"/>
      </font>
      <fill>
        <patternFill patternType="solid">
          <bgColor rgb="FF92D050"/>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5"/>
      </font>
      <fill>
        <patternFill>
          <bgColor theme="7"/>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FF5050"/>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ustomXml" Target="../customXml/item3.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openxmlformats.org/officeDocument/2006/relationships/customXml" Target="../customXml/item1.xml"/><Relationship Id="rId10" Type="http://schemas.openxmlformats.org/officeDocument/2006/relationships/customXml" Target="../customXml/item2.xml"/></Relationships>
</file>

<file path=xl/tables/table1.xml><?xml version="1.0" encoding="utf-8"?>
<table xmlns="http://schemas.openxmlformats.org/spreadsheetml/2006/main" id="1" name="Confidencialidad" displayName="Confidencialidad" ref="A1:A20" totalsRowShown="0" headerRowDxfId="38" dataDxfId="37" tableBorderDxfId="36">
  <autoFilter ref="A1:A20"/>
  <tableColumns count="1">
    <tableColumn id="1" name="Confidencialidad" dataDxfId="35"/>
  </tableColumns>
  <tableStyleInfo name="TableStyleLight21" showFirstColumn="0" showLastColumn="0" showRowStripes="1" showColumnStripes="0"/>
</table>
</file>

<file path=xl/tables/table2.xml><?xml version="1.0" encoding="utf-8"?>
<table xmlns="http://schemas.openxmlformats.org/spreadsheetml/2006/main" id="2" name="Disponibilidad" displayName="Disponibilidad" ref="B1:B18" totalsRowShown="0" headerRowDxfId="34" dataDxfId="33" tableBorderDxfId="32">
  <autoFilter ref="B1:B18"/>
  <tableColumns count="1">
    <tableColumn id="1" name="Disponibilidad" dataDxfId="31"/>
  </tableColumns>
  <tableStyleInfo name="TableStyleLight21" showFirstColumn="0" showLastColumn="0" showRowStripes="1" showColumnStripes="0"/>
</table>
</file>

<file path=xl/tables/table3.xml><?xml version="1.0" encoding="utf-8"?>
<table xmlns="http://schemas.openxmlformats.org/spreadsheetml/2006/main" id="3" name="Integridad" displayName="Integridad" ref="C1:C10" totalsRowShown="0" headerRowDxfId="30" dataDxfId="29" tableBorderDxfId="28">
  <autoFilter ref="C1:C10"/>
  <tableColumns count="1">
    <tableColumn id="1" name="Integridad" dataDxfId="27"/>
  </tableColumns>
  <tableStyleInfo name="TableStyleLight21" showFirstColumn="0" showLastColumn="0" showRowStripes="1" showColumnStripes="0"/>
</table>
</file>

<file path=xl/tables/table4.xml><?xml version="1.0" encoding="utf-8"?>
<table xmlns="http://schemas.openxmlformats.org/spreadsheetml/2006/main" id="4" name="Otros" displayName="Otros" ref="D1:D6" totalsRowShown="0" headerRowDxfId="26" dataDxfId="25">
  <autoFilter ref="D1:D6"/>
  <tableColumns count="1">
    <tableColumn id="1" name="Otros" dataDxfId="24"/>
  </tableColumns>
  <tableStyleInfo name="TableStyleLight21" showFirstColumn="0" showLastColumn="0" showRowStripes="1" showColumnStripes="0"/>
</table>
</file>

<file path=xl/tables/table5.xml><?xml version="1.0" encoding="utf-8"?>
<table xmlns="http://schemas.openxmlformats.org/spreadsheetml/2006/main" id="5" name="ConexiónComunicación" displayName="ConexiónComunicación" ref="H2:H10" totalsRowShown="0" headerRowDxfId="23" dataDxfId="21" headerRowBorderDxfId="22" tableBorderDxfId="20" totalsRowBorderDxfId="19">
  <autoFilter ref="H2:H10"/>
  <tableColumns count="1">
    <tableColumn id="1" name="ConexiónComunicación" dataDxfId="18"/>
  </tableColumns>
  <tableStyleInfo name="TableStyleMedium2" showFirstColumn="0" showLastColumn="0" showRowStripes="1" showColumnStripes="0"/>
</table>
</file>

<file path=xl/tables/table6.xml><?xml version="1.0" encoding="utf-8"?>
<table xmlns="http://schemas.openxmlformats.org/spreadsheetml/2006/main" id="6" name="Distribución" displayName="Distribución" ref="I2:I11" totalsRowShown="0" headerRowDxfId="17" dataDxfId="15" headerRowBorderDxfId="16" tableBorderDxfId="14" totalsRowBorderDxfId="13">
  <autoFilter ref="I2:I11"/>
  <tableColumns count="1">
    <tableColumn id="1" name="Distribución" dataDxfId="12"/>
  </tableColumns>
  <tableStyleInfo name="TableStyleMedium2" showFirstColumn="0" showLastColumn="0" showRowStripes="1" showColumnStripes="0"/>
</table>
</file>

<file path=xl/tables/table7.xml><?xml version="1.0" encoding="utf-8"?>
<table xmlns="http://schemas.openxmlformats.org/spreadsheetml/2006/main" id="7" name="Administración" displayName="Administración" ref="J2:J26" totalsRowShown="0" headerRowDxfId="11" dataDxfId="9" headerRowBorderDxfId="10" tableBorderDxfId="8" totalsRowBorderDxfId="7">
  <autoFilter ref="J2:J26"/>
  <tableColumns count="1">
    <tableColumn id="1" name="Administración" dataDxfId="6"/>
  </tableColumns>
  <tableStyleInfo name="TableStyleMedium2" showFirstColumn="0" showLastColumn="0" showRowStripes="1" showColumnStripes="0"/>
</table>
</file>

<file path=xl/tables/table8.xml><?xml version="1.0" encoding="utf-8"?>
<table xmlns="http://schemas.openxmlformats.org/spreadsheetml/2006/main" id="8" name="Suministro" displayName="Suministro" ref="K2:K15" totalsRowShown="0" headerRowDxfId="5" dataDxfId="3" headerRowBorderDxfId="4" tableBorderDxfId="2" totalsRowBorderDxfId="1">
  <autoFilter ref="K2:K15"/>
  <tableColumns count="1">
    <tableColumn id="1" name="Suministr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4" Type="http://schemas.openxmlformats.org/officeDocument/2006/relationships/table" Target="../tables/table4.xml"/><Relationship Id="rId5" Type="http://schemas.openxmlformats.org/officeDocument/2006/relationships/table" Target="../tables/table5.xml"/><Relationship Id="rId6" Type="http://schemas.openxmlformats.org/officeDocument/2006/relationships/table" Target="../tables/table6.xml"/><Relationship Id="rId7" Type="http://schemas.openxmlformats.org/officeDocument/2006/relationships/table" Target="../tables/table7.xml"/><Relationship Id="rId8" Type="http://schemas.openxmlformats.org/officeDocument/2006/relationships/table" Target="../tables/table8.xml"/><Relationship Id="rId1" Type="http://schemas.openxmlformats.org/officeDocument/2006/relationships/table" Target="../tables/table1.xml"/><Relationship Id="rId2"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C000"/>
  </sheetPr>
  <dimension ref="A2:AE37"/>
  <sheetViews>
    <sheetView workbookViewId="0">
      <pane ySplit="7" topLeftCell="A8" activePane="bottomLeft" state="frozen"/>
      <selection pane="bottomLeft" activeCell="A2" sqref="A2:A4"/>
    </sheetView>
  </sheetViews>
  <sheetFormatPr baseColWidth="10" defaultColWidth="11.5" defaultRowHeight="15" x14ac:dyDescent="0.2"/>
  <cols>
    <col min="1" max="1" width="6.5" customWidth="1"/>
    <col min="2" max="2" width="21.33203125" customWidth="1"/>
    <col min="3" max="3" width="39.83203125" customWidth="1"/>
    <col min="4" max="8" width="10.5" customWidth="1"/>
    <col min="9" max="9" width="11.33203125" style="42" customWidth="1"/>
    <col min="10" max="10" width="12.6640625" style="42" customWidth="1"/>
    <col min="11" max="11" width="12" customWidth="1"/>
    <col min="12" max="13" width="9.5" customWidth="1"/>
    <col min="14" max="14" width="11.6640625" customWidth="1"/>
    <col min="15" max="15" width="15.1640625" customWidth="1"/>
    <col min="16" max="17" width="12" customWidth="1"/>
    <col min="18" max="18" width="11.83203125" customWidth="1"/>
    <col min="19" max="21" width="10.5" customWidth="1"/>
    <col min="22" max="23" width="8.5" customWidth="1"/>
    <col min="24" max="26" width="6.5" customWidth="1"/>
    <col min="27" max="27" width="7.33203125" customWidth="1"/>
    <col min="28" max="30" width="6.5" customWidth="1"/>
    <col min="31" max="31" width="7.5" customWidth="1"/>
    <col min="32" max="33" width="10" customWidth="1"/>
  </cols>
  <sheetData>
    <row r="2" spans="1:31" ht="18" x14ac:dyDescent="0.2">
      <c r="A2" s="115" t="s">
        <v>0</v>
      </c>
    </row>
    <row r="3" spans="1:31" ht="19" x14ac:dyDescent="0.25">
      <c r="A3" s="116" t="s">
        <v>1</v>
      </c>
    </row>
    <row r="4" spans="1:31" ht="19" x14ac:dyDescent="0.25">
      <c r="A4" s="116" t="s">
        <v>2</v>
      </c>
    </row>
    <row r="6" spans="1:31" s="40" customFormat="1" ht="70" customHeight="1" x14ac:dyDescent="0.2">
      <c r="A6" s="121" t="s">
        <v>3</v>
      </c>
      <c r="B6" s="122" t="s">
        <v>4</v>
      </c>
      <c r="C6" s="122" t="s">
        <v>5</v>
      </c>
      <c r="D6" s="122" t="s">
        <v>6</v>
      </c>
      <c r="E6" s="122"/>
      <c r="F6" s="122" t="s">
        <v>7</v>
      </c>
      <c r="G6" s="122"/>
      <c r="H6" s="122" t="s">
        <v>8</v>
      </c>
      <c r="I6" s="122"/>
      <c r="J6" s="122" t="s">
        <v>9</v>
      </c>
      <c r="K6" s="122"/>
      <c r="L6" s="122" t="s">
        <v>10</v>
      </c>
      <c r="M6" s="122"/>
      <c r="N6" s="122" t="s">
        <v>11</v>
      </c>
      <c r="O6" s="122"/>
      <c r="P6" s="122" t="s">
        <v>12</v>
      </c>
      <c r="Q6" s="122"/>
      <c r="R6" s="123" t="s">
        <v>13</v>
      </c>
      <c r="S6" s="123"/>
      <c r="T6" s="123" t="s">
        <v>14</v>
      </c>
      <c r="U6" s="123"/>
      <c r="V6" s="123" t="s">
        <v>15</v>
      </c>
      <c r="W6" s="123"/>
      <c r="X6" s="122" t="s">
        <v>16</v>
      </c>
      <c r="Y6" s="122"/>
      <c r="Z6" s="122"/>
      <c r="AA6" s="122"/>
      <c r="AB6" s="122" t="s">
        <v>17</v>
      </c>
      <c r="AC6" s="122"/>
      <c r="AD6" s="122"/>
      <c r="AE6" s="122"/>
    </row>
    <row r="7" spans="1:31" x14ac:dyDescent="0.2">
      <c r="A7" s="121"/>
      <c r="B7" s="122"/>
      <c r="C7" s="122"/>
      <c r="D7" s="64" t="s">
        <v>18</v>
      </c>
      <c r="E7" s="65" t="s">
        <v>19</v>
      </c>
      <c r="F7" s="66" t="s">
        <v>18</v>
      </c>
      <c r="G7" s="66" t="s">
        <v>19</v>
      </c>
      <c r="H7" s="66" t="s">
        <v>18</v>
      </c>
      <c r="I7" s="66" t="s">
        <v>19</v>
      </c>
      <c r="J7" s="66" t="s">
        <v>18</v>
      </c>
      <c r="K7" s="66" t="s">
        <v>19</v>
      </c>
      <c r="L7" s="66" t="s">
        <v>18</v>
      </c>
      <c r="M7" s="66" t="s">
        <v>19</v>
      </c>
      <c r="N7" s="66" t="s">
        <v>18</v>
      </c>
      <c r="O7" s="66" t="s">
        <v>19</v>
      </c>
      <c r="P7" s="66" t="s">
        <v>18</v>
      </c>
      <c r="Q7" s="66" t="s">
        <v>19</v>
      </c>
      <c r="R7" s="66" t="s">
        <v>18</v>
      </c>
      <c r="S7" s="66" t="s">
        <v>19</v>
      </c>
      <c r="T7" s="66" t="s">
        <v>18</v>
      </c>
      <c r="U7" s="66" t="s">
        <v>19</v>
      </c>
      <c r="V7" s="66" t="s">
        <v>18</v>
      </c>
      <c r="W7" s="66" t="s">
        <v>19</v>
      </c>
      <c r="X7" s="44" t="s">
        <v>20</v>
      </c>
      <c r="Y7" s="43" t="s">
        <v>21</v>
      </c>
      <c r="Z7" s="45" t="s">
        <v>22</v>
      </c>
      <c r="AA7" s="46" t="s">
        <v>23</v>
      </c>
      <c r="AB7" s="44" t="s">
        <v>20</v>
      </c>
      <c r="AC7" s="43" t="s">
        <v>21</v>
      </c>
      <c r="AD7" s="45" t="s">
        <v>22</v>
      </c>
      <c r="AE7" s="46" t="s">
        <v>23</v>
      </c>
    </row>
    <row r="8" spans="1:31" ht="57" customHeight="1" x14ac:dyDescent="0.2">
      <c r="A8" s="30"/>
      <c r="B8" s="41" t="s">
        <v>24</v>
      </c>
      <c r="C8" s="111" t="s">
        <v>25</v>
      </c>
      <c r="D8" s="30" t="s">
        <v>26</v>
      </c>
      <c r="E8" s="30"/>
      <c r="F8" s="30" t="s">
        <v>26</v>
      </c>
      <c r="G8" s="30"/>
      <c r="H8" s="30"/>
      <c r="I8" s="41" t="s">
        <v>26</v>
      </c>
      <c r="J8" s="41"/>
      <c r="K8" s="30" t="s">
        <v>26</v>
      </c>
      <c r="L8" s="30" t="s">
        <v>26</v>
      </c>
      <c r="M8" s="30"/>
      <c r="N8" s="30"/>
      <c r="O8" s="30" t="s">
        <v>26</v>
      </c>
      <c r="P8" s="30"/>
      <c r="Q8" s="30" t="s">
        <v>26</v>
      </c>
      <c r="R8" s="30"/>
      <c r="S8" s="30" t="s">
        <v>26</v>
      </c>
      <c r="T8" s="30"/>
      <c r="U8" s="30" t="s">
        <v>26</v>
      </c>
      <c r="V8" s="30"/>
      <c r="W8" s="30" t="s">
        <v>26</v>
      </c>
      <c r="X8" s="30"/>
      <c r="Y8" s="30"/>
      <c r="Z8" s="30" t="s">
        <v>26</v>
      </c>
      <c r="AA8" s="30"/>
      <c r="AB8" s="30" t="s">
        <v>26</v>
      </c>
      <c r="AC8" s="30"/>
      <c r="AD8" s="30"/>
      <c r="AE8" s="30"/>
    </row>
    <row r="9" spans="1:31" ht="13.5" customHeight="1" x14ac:dyDescent="0.2">
      <c r="A9" s="48"/>
      <c r="B9" s="58"/>
      <c r="C9" s="57"/>
      <c r="D9" s="59"/>
      <c r="E9" s="48"/>
      <c r="F9" s="48"/>
      <c r="G9" s="48"/>
      <c r="H9" s="48"/>
      <c r="I9" s="49"/>
      <c r="J9" s="49"/>
      <c r="K9" s="48"/>
      <c r="L9" s="48"/>
      <c r="M9" s="48"/>
      <c r="N9" s="48"/>
      <c r="O9" s="48"/>
      <c r="P9" s="48"/>
      <c r="Q9" s="48"/>
      <c r="R9" s="48"/>
      <c r="S9" s="48"/>
      <c r="T9" s="50"/>
      <c r="U9" s="48"/>
      <c r="V9" s="48"/>
      <c r="W9" s="48"/>
      <c r="X9" s="48"/>
      <c r="Y9" s="48"/>
      <c r="Z9" s="48"/>
      <c r="AA9" s="48"/>
      <c r="AB9" s="48"/>
      <c r="AC9" s="48"/>
      <c r="AD9" s="48"/>
      <c r="AE9" s="48"/>
    </row>
    <row r="10" spans="1:31" ht="13.5" customHeight="1" x14ac:dyDescent="0.2">
      <c r="A10" s="48"/>
      <c r="B10" s="58"/>
      <c r="C10" s="57"/>
      <c r="D10" s="59"/>
      <c r="E10" s="48"/>
      <c r="F10" s="48"/>
      <c r="G10" s="48"/>
      <c r="H10" s="48"/>
      <c r="I10" s="49"/>
      <c r="J10" s="49"/>
      <c r="K10" s="48"/>
      <c r="L10" s="48"/>
      <c r="M10" s="48"/>
      <c r="N10" s="48"/>
      <c r="O10" s="48"/>
      <c r="P10" s="48"/>
      <c r="Q10" s="48"/>
      <c r="R10" s="48"/>
      <c r="S10" s="48"/>
      <c r="T10" s="50"/>
      <c r="U10" s="48"/>
      <c r="V10" s="48"/>
      <c r="W10" s="48"/>
      <c r="X10" s="48"/>
      <c r="Y10" s="48"/>
      <c r="Z10" s="48"/>
      <c r="AA10" s="48"/>
      <c r="AB10" s="48"/>
      <c r="AC10" s="48"/>
      <c r="AD10" s="48"/>
      <c r="AE10" s="48"/>
    </row>
    <row r="11" spans="1:31" ht="13.5" customHeight="1" x14ac:dyDescent="0.2">
      <c r="A11" s="48"/>
      <c r="B11" s="58"/>
      <c r="C11" s="57"/>
      <c r="D11" s="59"/>
      <c r="E11" s="48"/>
      <c r="F11" s="48"/>
      <c r="G11" s="48"/>
      <c r="H11" s="48"/>
      <c r="I11" s="49"/>
      <c r="J11" s="49"/>
      <c r="K11" s="48"/>
      <c r="L11" s="48"/>
      <c r="M11" s="48"/>
      <c r="N11" s="48"/>
      <c r="O11" s="48"/>
      <c r="P11" s="48"/>
      <c r="Q11" s="48"/>
      <c r="R11" s="48"/>
      <c r="S11" s="48"/>
      <c r="T11" s="50"/>
      <c r="U11" s="48"/>
      <c r="V11" s="48"/>
      <c r="W11" s="48"/>
      <c r="X11" s="48"/>
      <c r="Y11" s="48"/>
      <c r="Z11" s="48"/>
      <c r="AA11" s="48"/>
      <c r="AB11" s="48"/>
      <c r="AC11" s="48"/>
      <c r="AD11" s="48"/>
      <c r="AE11" s="48"/>
    </row>
    <row r="12" spans="1:31" ht="13.5" customHeight="1" x14ac:dyDescent="0.2">
      <c r="A12" s="30"/>
      <c r="B12" s="58"/>
      <c r="C12" s="57"/>
      <c r="D12" s="59"/>
      <c r="E12" s="48"/>
      <c r="F12" s="48"/>
      <c r="G12" s="48"/>
      <c r="H12" s="48"/>
      <c r="I12" s="49"/>
      <c r="J12" s="49"/>
      <c r="K12" s="48"/>
      <c r="L12" s="48"/>
      <c r="M12" s="48"/>
      <c r="N12" s="48"/>
      <c r="O12" s="48"/>
      <c r="P12" s="48"/>
      <c r="Q12" s="48"/>
      <c r="R12" s="48"/>
      <c r="S12" s="48"/>
      <c r="T12" s="50"/>
      <c r="U12" s="48"/>
      <c r="V12" s="48"/>
      <c r="W12" s="48"/>
      <c r="X12" s="48"/>
      <c r="Y12" s="48"/>
      <c r="Z12" s="48"/>
      <c r="AA12" s="48"/>
      <c r="AB12" s="48"/>
      <c r="AC12" s="48"/>
      <c r="AD12" s="48"/>
      <c r="AE12" s="48"/>
    </row>
    <row r="13" spans="1:31" ht="13.5" customHeight="1" x14ac:dyDescent="0.2">
      <c r="A13" s="30"/>
      <c r="B13" s="58"/>
      <c r="C13" s="57"/>
      <c r="D13" s="59"/>
      <c r="E13" s="48"/>
      <c r="F13" s="48"/>
      <c r="G13" s="48"/>
      <c r="H13" s="48"/>
      <c r="I13" s="49"/>
      <c r="J13" s="49"/>
      <c r="K13" s="48"/>
      <c r="L13" s="48"/>
      <c r="M13" s="48"/>
      <c r="N13" s="48"/>
      <c r="O13" s="48"/>
      <c r="P13" s="48"/>
      <c r="Q13" s="48"/>
      <c r="R13" s="48"/>
      <c r="S13" s="48"/>
      <c r="T13" s="50"/>
      <c r="U13" s="48"/>
      <c r="V13" s="48"/>
      <c r="W13" s="48"/>
      <c r="X13" s="48"/>
      <c r="Y13" s="48"/>
      <c r="Z13" s="48"/>
      <c r="AA13" s="48"/>
      <c r="AB13" s="48"/>
      <c r="AC13" s="48"/>
      <c r="AD13" s="48"/>
      <c r="AE13" s="48"/>
    </row>
    <row r="14" spans="1:31" ht="13.5" customHeight="1" x14ac:dyDescent="0.2">
      <c r="A14" s="30"/>
      <c r="B14" s="58"/>
      <c r="C14" s="57"/>
      <c r="D14" s="59"/>
      <c r="E14" s="48"/>
      <c r="F14" s="48"/>
      <c r="G14" s="48"/>
      <c r="H14" s="48"/>
      <c r="I14" s="49"/>
      <c r="J14" s="49"/>
      <c r="K14" s="48"/>
      <c r="L14" s="48"/>
      <c r="M14" s="48"/>
      <c r="N14" s="48"/>
      <c r="O14" s="48"/>
      <c r="P14" s="48"/>
      <c r="Q14" s="48"/>
      <c r="R14" s="48"/>
      <c r="S14" s="48"/>
      <c r="T14" s="50"/>
      <c r="U14" s="48"/>
      <c r="V14" s="48"/>
      <c r="W14" s="48"/>
      <c r="X14" s="48"/>
      <c r="Y14" s="48"/>
      <c r="Z14" s="48"/>
      <c r="AA14" s="48"/>
      <c r="AB14" s="48"/>
      <c r="AC14" s="48"/>
      <c r="AD14" s="48"/>
      <c r="AE14" s="48"/>
    </row>
    <row r="15" spans="1:31" ht="13.5" customHeight="1" x14ac:dyDescent="0.2">
      <c r="A15" s="30"/>
      <c r="B15" s="58"/>
      <c r="C15" s="57"/>
      <c r="D15" s="59"/>
      <c r="E15" s="48"/>
      <c r="F15" s="48"/>
      <c r="G15" s="48"/>
      <c r="H15" s="48"/>
      <c r="I15" s="49"/>
      <c r="J15" s="49"/>
      <c r="K15" s="48"/>
      <c r="L15" s="48"/>
      <c r="M15" s="48"/>
      <c r="N15" s="48"/>
      <c r="O15" s="48"/>
      <c r="P15" s="48"/>
      <c r="Q15" s="48"/>
      <c r="R15" s="48"/>
      <c r="S15" s="48"/>
      <c r="T15" s="50"/>
      <c r="U15" s="48"/>
      <c r="V15" s="48"/>
      <c r="W15" s="48"/>
      <c r="X15" s="48"/>
      <c r="Y15" s="48"/>
      <c r="Z15" s="48"/>
      <c r="AA15" s="48"/>
      <c r="AB15" s="48"/>
      <c r="AC15" s="48"/>
      <c r="AD15" s="48"/>
      <c r="AE15" s="48"/>
    </row>
    <row r="16" spans="1:31" ht="13.5" customHeight="1" x14ac:dyDescent="0.2">
      <c r="A16" s="30"/>
      <c r="B16" s="58"/>
      <c r="C16" s="57"/>
      <c r="D16" s="59"/>
      <c r="E16" s="48"/>
      <c r="F16" s="48"/>
      <c r="G16" s="48"/>
      <c r="H16" s="48"/>
      <c r="I16" s="49"/>
      <c r="J16" s="49"/>
      <c r="K16" s="48"/>
      <c r="L16" s="48"/>
      <c r="M16" s="48"/>
      <c r="N16" s="48"/>
      <c r="O16" s="48"/>
      <c r="P16" s="48"/>
      <c r="Q16" s="48"/>
      <c r="R16" s="48"/>
      <c r="S16" s="48"/>
      <c r="T16" s="50"/>
      <c r="U16" s="48"/>
      <c r="V16" s="48"/>
      <c r="W16" s="48"/>
      <c r="X16" s="48"/>
      <c r="Y16" s="48"/>
      <c r="Z16" s="48"/>
      <c r="AA16" s="48"/>
      <c r="AB16" s="48"/>
      <c r="AC16" s="48"/>
      <c r="AD16" s="48"/>
      <c r="AE16" s="48"/>
    </row>
    <row r="17" spans="1:31" ht="13.5" customHeight="1" x14ac:dyDescent="0.2">
      <c r="A17" s="30"/>
      <c r="B17" s="58"/>
      <c r="C17" s="57"/>
      <c r="D17" s="59"/>
      <c r="E17" s="48"/>
      <c r="F17" s="48"/>
      <c r="G17" s="48"/>
      <c r="H17" s="48"/>
      <c r="I17" s="49"/>
      <c r="J17" s="49"/>
      <c r="K17" s="48"/>
      <c r="L17" s="48"/>
      <c r="M17" s="48"/>
      <c r="N17" s="48"/>
      <c r="O17" s="48"/>
      <c r="P17" s="48"/>
      <c r="Q17" s="48"/>
      <c r="R17" s="48"/>
      <c r="S17" s="48"/>
      <c r="T17" s="50"/>
      <c r="U17" s="48"/>
      <c r="V17" s="48"/>
      <c r="W17" s="48"/>
      <c r="X17" s="48"/>
      <c r="Y17" s="48"/>
      <c r="Z17" s="48"/>
      <c r="AA17" s="48"/>
      <c r="AB17" s="48"/>
      <c r="AC17" s="48"/>
      <c r="AD17" s="48"/>
      <c r="AE17" s="48"/>
    </row>
    <row r="18" spans="1:31" ht="13.5" customHeight="1" x14ac:dyDescent="0.2">
      <c r="A18" s="30"/>
      <c r="B18" s="58"/>
      <c r="C18" s="57"/>
      <c r="D18" s="62"/>
      <c r="E18" s="30"/>
      <c r="F18" s="62"/>
      <c r="G18" s="30"/>
      <c r="H18" s="62"/>
      <c r="I18" s="41"/>
      <c r="J18" s="63"/>
      <c r="K18" s="30"/>
      <c r="L18" s="62"/>
      <c r="M18" s="30"/>
      <c r="N18" s="30"/>
      <c r="O18" s="30"/>
      <c r="P18" s="30"/>
      <c r="Q18" s="30"/>
      <c r="R18" s="30"/>
      <c r="S18" s="30"/>
      <c r="T18" s="30"/>
      <c r="U18" s="30"/>
      <c r="V18" s="30"/>
      <c r="W18" s="30"/>
      <c r="X18" s="30"/>
      <c r="Y18" s="30"/>
      <c r="Z18" s="30"/>
      <c r="AA18" s="30"/>
      <c r="AB18" s="30"/>
      <c r="AC18" s="30"/>
      <c r="AD18" s="30"/>
      <c r="AE18" s="30"/>
    </row>
    <row r="19" spans="1:31" ht="54.75" hidden="1" customHeight="1" x14ac:dyDescent="0.2">
      <c r="A19" s="30"/>
      <c r="B19" s="58" t="s">
        <v>27</v>
      </c>
      <c r="C19" s="57" t="s">
        <v>28</v>
      </c>
      <c r="D19" s="30" t="s">
        <v>26</v>
      </c>
      <c r="E19" s="30"/>
      <c r="F19" s="30" t="s">
        <v>26</v>
      </c>
      <c r="G19" s="30"/>
      <c r="H19" s="30" t="s">
        <v>26</v>
      </c>
      <c r="I19" s="41"/>
      <c r="J19" s="41" t="s">
        <v>26</v>
      </c>
      <c r="K19" s="30"/>
      <c r="L19" s="30" t="s">
        <v>26</v>
      </c>
      <c r="M19" s="30"/>
      <c r="N19" s="30" t="s">
        <v>26</v>
      </c>
      <c r="O19" s="30"/>
      <c r="P19" s="30" t="s">
        <v>26</v>
      </c>
      <c r="Q19" s="30"/>
      <c r="R19" s="30" t="s">
        <v>26</v>
      </c>
      <c r="S19" s="30"/>
      <c r="T19" s="30" t="s">
        <v>26</v>
      </c>
      <c r="U19" s="30"/>
      <c r="V19" s="30" t="s">
        <v>26</v>
      </c>
      <c r="W19" s="30"/>
      <c r="X19" s="30"/>
      <c r="Y19" s="30"/>
      <c r="Z19" s="30"/>
      <c r="AA19" s="30" t="s">
        <v>26</v>
      </c>
      <c r="AB19" s="30"/>
      <c r="AC19" s="30"/>
      <c r="AD19" s="30" t="s">
        <v>26</v>
      </c>
      <c r="AE19" s="30"/>
    </row>
    <row r="20" spans="1:31" ht="13.5" customHeight="1" x14ac:dyDescent="0.2">
      <c r="A20" s="30"/>
      <c r="B20" s="58"/>
      <c r="C20" s="67"/>
      <c r="D20" s="30"/>
      <c r="E20" s="30"/>
      <c r="F20" s="30"/>
      <c r="G20" s="30"/>
      <c r="H20" s="30"/>
      <c r="I20" s="41"/>
      <c r="J20" s="41"/>
      <c r="K20" s="30"/>
      <c r="L20" s="30"/>
      <c r="M20" s="30"/>
      <c r="N20" s="30"/>
      <c r="O20" s="30"/>
      <c r="P20" s="30"/>
      <c r="Q20" s="30"/>
      <c r="R20" s="30"/>
      <c r="S20" s="30"/>
      <c r="T20" s="30"/>
      <c r="U20" s="30"/>
      <c r="V20" s="30"/>
      <c r="W20" s="30"/>
      <c r="X20" s="30"/>
      <c r="Y20" s="30"/>
      <c r="Z20" s="30"/>
      <c r="AA20" s="30"/>
      <c r="AB20" s="30"/>
      <c r="AC20" s="30"/>
      <c r="AD20" s="30"/>
      <c r="AE20" s="30"/>
    </row>
    <row r="21" spans="1:31" ht="13.5" customHeight="1" x14ac:dyDescent="0.2">
      <c r="A21" s="30"/>
      <c r="B21" s="58"/>
      <c r="C21" s="67"/>
      <c r="D21" s="30"/>
      <c r="E21" s="30"/>
      <c r="F21" s="30"/>
      <c r="G21" s="30"/>
      <c r="H21" s="30"/>
      <c r="I21" s="41"/>
      <c r="J21" s="41"/>
      <c r="K21" s="30"/>
      <c r="L21" s="30"/>
      <c r="M21" s="30"/>
      <c r="N21" s="30"/>
      <c r="O21" s="30"/>
      <c r="P21" s="30"/>
      <c r="Q21" s="30"/>
      <c r="R21" s="30"/>
      <c r="S21" s="30"/>
      <c r="T21" s="30"/>
      <c r="U21" s="30"/>
      <c r="V21" s="30"/>
      <c r="W21" s="30"/>
      <c r="X21" s="30"/>
      <c r="Y21" s="30"/>
      <c r="Z21" s="30"/>
      <c r="AA21" s="30"/>
      <c r="AB21" s="30"/>
      <c r="AC21" s="30"/>
      <c r="AD21" s="30"/>
      <c r="AE21" s="30"/>
    </row>
    <row r="22" spans="1:31" ht="13.5" customHeight="1" x14ac:dyDescent="0.2">
      <c r="A22" s="30"/>
      <c r="B22" s="67"/>
      <c r="C22" s="67"/>
      <c r="D22" s="48"/>
      <c r="E22" s="48"/>
      <c r="F22" s="48"/>
      <c r="G22" s="48"/>
      <c r="H22" s="48"/>
      <c r="I22" s="49"/>
      <c r="J22" s="49"/>
      <c r="K22" s="48"/>
      <c r="L22" s="48"/>
      <c r="M22" s="48"/>
      <c r="N22" s="48"/>
      <c r="O22" s="48"/>
      <c r="P22" s="48"/>
      <c r="Q22" s="48"/>
      <c r="R22" s="48"/>
      <c r="S22" s="48"/>
      <c r="T22" s="48"/>
      <c r="U22" s="48"/>
      <c r="V22" s="48"/>
      <c r="W22" s="48"/>
      <c r="X22" s="48"/>
      <c r="Y22" s="48"/>
      <c r="Z22" s="48"/>
      <c r="AA22" s="48"/>
      <c r="AB22" s="48"/>
      <c r="AC22" s="48"/>
      <c r="AD22" s="48"/>
      <c r="AE22" s="48"/>
    </row>
    <row r="23" spans="1:31" ht="13.5" customHeight="1" x14ac:dyDescent="0.2">
      <c r="A23" s="30"/>
      <c r="B23" s="67"/>
      <c r="C23" s="67"/>
      <c r="D23" s="48"/>
      <c r="E23" s="48"/>
      <c r="F23" s="48"/>
      <c r="G23" s="48"/>
      <c r="H23" s="48"/>
      <c r="I23" s="49"/>
      <c r="J23" s="49"/>
      <c r="K23" s="48"/>
      <c r="L23" s="48"/>
      <c r="M23" s="48"/>
      <c r="N23" s="48"/>
      <c r="O23" s="48"/>
      <c r="P23" s="48"/>
      <c r="Q23" s="48"/>
      <c r="R23" s="48"/>
      <c r="S23" s="48"/>
      <c r="T23" s="48"/>
      <c r="U23" s="48"/>
      <c r="V23" s="48"/>
      <c r="W23" s="48"/>
      <c r="X23" s="48"/>
      <c r="Y23" s="48"/>
      <c r="Z23" s="48"/>
      <c r="AA23" s="48"/>
      <c r="AB23" s="48"/>
      <c r="AC23" s="48"/>
      <c r="AD23" s="48"/>
      <c r="AE23" s="48"/>
    </row>
    <row r="24" spans="1:31" ht="13.5" customHeight="1" x14ac:dyDescent="0.2">
      <c r="A24" s="30"/>
      <c r="B24" s="30"/>
      <c r="C24" s="30"/>
      <c r="D24" s="48"/>
      <c r="E24" s="48"/>
      <c r="F24" s="48"/>
      <c r="G24" s="48"/>
      <c r="H24" s="48"/>
      <c r="I24" s="49"/>
      <c r="J24" s="49"/>
      <c r="K24" s="48"/>
      <c r="L24" s="48"/>
      <c r="M24" s="48"/>
      <c r="N24" s="48"/>
      <c r="O24" s="48"/>
      <c r="P24" s="48"/>
      <c r="Q24" s="48"/>
      <c r="R24" s="48"/>
      <c r="S24" s="48"/>
      <c r="T24" s="48"/>
      <c r="U24" s="48"/>
      <c r="V24" s="48"/>
      <c r="W24" s="48"/>
      <c r="X24" s="48"/>
      <c r="Y24" s="48"/>
      <c r="Z24" s="48"/>
      <c r="AA24" s="48"/>
      <c r="AB24" s="48"/>
      <c r="AC24" s="48"/>
      <c r="AD24" s="48"/>
      <c r="AE24" s="48"/>
    </row>
    <row r="25" spans="1:31" s="79" customFormat="1" ht="13.5" customHeight="1" x14ac:dyDescent="0.2">
      <c r="A25" s="77"/>
      <c r="B25" s="78" t="s">
        <v>29</v>
      </c>
      <c r="C25" s="78" t="s">
        <v>30</v>
      </c>
      <c r="D25" s="77" t="s">
        <v>31</v>
      </c>
      <c r="E25" s="77"/>
      <c r="F25" s="77" t="s">
        <v>31</v>
      </c>
      <c r="G25" s="77"/>
      <c r="H25" s="77" t="s">
        <v>31</v>
      </c>
      <c r="I25" s="78"/>
      <c r="J25" s="78"/>
      <c r="K25" s="77" t="s">
        <v>31</v>
      </c>
      <c r="L25" s="77" t="s">
        <v>31</v>
      </c>
      <c r="M25" s="77"/>
      <c r="N25" s="77" t="s">
        <v>31</v>
      </c>
      <c r="O25" s="77"/>
      <c r="P25" s="77" t="s">
        <v>31</v>
      </c>
      <c r="Q25" s="77"/>
      <c r="R25" s="77"/>
      <c r="S25" s="77" t="s">
        <v>31</v>
      </c>
      <c r="T25" s="77" t="s">
        <v>31</v>
      </c>
      <c r="U25" s="77"/>
      <c r="V25" s="77"/>
      <c r="W25" s="77" t="s">
        <v>31</v>
      </c>
      <c r="X25" s="77"/>
      <c r="Y25" s="77" t="s">
        <v>31</v>
      </c>
      <c r="Z25" s="77"/>
      <c r="AA25" s="77"/>
      <c r="AB25" s="77" t="s">
        <v>31</v>
      </c>
      <c r="AC25" s="77"/>
      <c r="AD25" s="77"/>
      <c r="AE25" s="77"/>
    </row>
    <row r="26" spans="1:31" ht="13.5" customHeight="1" x14ac:dyDescent="0.2">
      <c r="A26" s="30"/>
      <c r="B26" s="78"/>
      <c r="C26" s="67"/>
      <c r="D26" s="30"/>
      <c r="E26" s="30"/>
      <c r="F26" s="30"/>
      <c r="G26" s="30"/>
      <c r="H26" s="30"/>
      <c r="I26" s="41"/>
      <c r="J26" s="41"/>
      <c r="K26" s="30"/>
      <c r="L26" s="30"/>
      <c r="M26" s="30"/>
      <c r="N26" s="30"/>
      <c r="O26" s="30"/>
      <c r="P26" s="30"/>
      <c r="Q26" s="30"/>
      <c r="R26" s="30"/>
      <c r="S26" s="30"/>
      <c r="T26" s="30"/>
      <c r="U26" s="30"/>
      <c r="V26" s="30"/>
      <c r="W26" s="30"/>
      <c r="X26" s="30"/>
      <c r="Y26" s="30"/>
      <c r="Z26" s="30"/>
      <c r="AA26" s="30"/>
      <c r="AB26" s="30"/>
      <c r="AC26" s="30"/>
      <c r="AD26" s="30"/>
      <c r="AE26" s="30"/>
    </row>
    <row r="27" spans="1:31" ht="13.5" customHeight="1" x14ac:dyDescent="0.2">
      <c r="A27" s="30"/>
      <c r="B27" s="30"/>
      <c r="C27" s="67"/>
      <c r="D27" s="30"/>
      <c r="E27" s="30"/>
      <c r="F27" s="30"/>
      <c r="G27" s="30"/>
      <c r="H27" s="30"/>
      <c r="I27" s="41"/>
      <c r="J27" s="41"/>
      <c r="K27" s="30"/>
      <c r="L27" s="30"/>
      <c r="M27" s="30"/>
      <c r="N27" s="30"/>
      <c r="O27" s="30"/>
      <c r="P27" s="30"/>
      <c r="Q27" s="30"/>
      <c r="R27" s="30"/>
      <c r="S27" s="30"/>
      <c r="T27" s="30"/>
      <c r="U27" s="30"/>
      <c r="V27" s="30"/>
      <c r="W27" s="30"/>
      <c r="X27" s="30"/>
      <c r="Y27" s="30"/>
      <c r="Z27" s="30"/>
      <c r="AA27" s="30"/>
      <c r="AB27" s="30"/>
      <c r="AC27" s="30"/>
      <c r="AD27" s="30"/>
      <c r="AE27" s="30"/>
    </row>
    <row r="28" spans="1:31" ht="13.5" customHeight="1" x14ac:dyDescent="0.2">
      <c r="A28" s="30"/>
      <c r="B28" s="30"/>
      <c r="C28" s="67"/>
      <c r="D28" s="30"/>
      <c r="E28" s="30"/>
      <c r="F28" s="30"/>
      <c r="G28" s="30"/>
      <c r="H28" s="30"/>
      <c r="I28" s="41"/>
      <c r="J28" s="41"/>
      <c r="K28" s="30"/>
      <c r="L28" s="30"/>
      <c r="M28" s="30"/>
      <c r="N28" s="30"/>
      <c r="O28" s="30"/>
      <c r="P28" s="30"/>
      <c r="Q28" s="30"/>
      <c r="R28" s="30"/>
      <c r="S28" s="30"/>
      <c r="T28" s="30"/>
      <c r="U28" s="30"/>
      <c r="V28" s="30"/>
      <c r="W28" s="30"/>
      <c r="X28" s="30"/>
      <c r="Y28" s="30"/>
      <c r="Z28" s="30"/>
      <c r="AA28" s="30"/>
      <c r="AB28" s="30"/>
      <c r="AC28" s="30"/>
      <c r="AD28" s="30"/>
      <c r="AE28" s="30"/>
    </row>
    <row r="29" spans="1:31" ht="13.5" customHeight="1" x14ac:dyDescent="0.2">
      <c r="A29" s="30"/>
      <c r="B29" s="30"/>
      <c r="C29" s="30"/>
      <c r="D29" s="30"/>
      <c r="E29" s="30"/>
      <c r="F29" s="30"/>
      <c r="G29" s="30"/>
      <c r="H29" s="30"/>
      <c r="I29" s="41"/>
      <c r="J29" s="41"/>
      <c r="K29" s="30"/>
      <c r="L29" s="30"/>
      <c r="M29" s="30"/>
      <c r="N29" s="30"/>
      <c r="O29" s="30"/>
      <c r="P29" s="30"/>
      <c r="Q29" s="30"/>
      <c r="R29" s="30"/>
      <c r="S29" s="30"/>
      <c r="T29" s="30"/>
      <c r="U29" s="30"/>
      <c r="V29" s="30"/>
      <c r="W29" s="30"/>
      <c r="X29" s="30"/>
      <c r="Y29" s="30"/>
      <c r="Z29" s="30"/>
      <c r="AA29" s="30"/>
      <c r="AB29" s="30"/>
      <c r="AC29" s="30"/>
      <c r="AD29" s="30"/>
      <c r="AE29" s="30"/>
    </row>
    <row r="30" spans="1:31" ht="13.5" customHeight="1" x14ac:dyDescent="0.2">
      <c r="A30" s="30"/>
      <c r="B30" s="30"/>
      <c r="C30" s="30"/>
      <c r="D30" s="30"/>
      <c r="E30" s="30"/>
      <c r="F30" s="30"/>
      <c r="G30" s="30"/>
      <c r="H30" s="30"/>
      <c r="I30" s="41"/>
      <c r="J30" s="41"/>
      <c r="K30" s="30"/>
      <c r="L30" s="30"/>
      <c r="M30" s="30"/>
      <c r="N30" s="30"/>
      <c r="O30" s="30"/>
      <c r="P30" s="30"/>
      <c r="Q30" s="30"/>
      <c r="R30" s="30"/>
      <c r="S30" s="30"/>
      <c r="T30" s="30"/>
      <c r="U30" s="30"/>
      <c r="V30" s="30"/>
      <c r="W30" s="30"/>
      <c r="X30" s="30"/>
      <c r="Y30" s="30"/>
      <c r="Z30" s="30"/>
      <c r="AA30" s="30"/>
      <c r="AB30" s="30"/>
      <c r="AC30" s="30"/>
      <c r="AD30" s="30"/>
      <c r="AE30" s="30"/>
    </row>
    <row r="31" spans="1:31" ht="13.5" customHeight="1" x14ac:dyDescent="0.2">
      <c r="A31" s="30"/>
      <c r="B31" s="30"/>
      <c r="C31" s="30"/>
      <c r="D31" s="30"/>
      <c r="E31" s="30"/>
      <c r="F31" s="30"/>
      <c r="G31" s="30"/>
      <c r="H31" s="30"/>
      <c r="I31" s="41"/>
      <c r="J31" s="41"/>
      <c r="K31" s="30"/>
      <c r="L31" s="30"/>
      <c r="M31" s="30"/>
      <c r="N31" s="30"/>
      <c r="O31" s="30"/>
      <c r="P31" s="30"/>
      <c r="Q31" s="30"/>
      <c r="R31" s="30"/>
      <c r="S31" s="30"/>
      <c r="T31" s="30"/>
      <c r="U31" s="30"/>
      <c r="V31" s="30"/>
      <c r="W31" s="30"/>
      <c r="X31" s="30"/>
      <c r="Y31" s="30"/>
      <c r="Z31" s="30"/>
      <c r="AA31" s="30"/>
      <c r="AB31" s="30"/>
      <c r="AC31" s="30"/>
      <c r="AD31" s="30"/>
      <c r="AE31" s="30"/>
    </row>
    <row r="32" spans="1:31" ht="13.5" customHeight="1" x14ac:dyDescent="0.2">
      <c r="A32" s="30"/>
      <c r="B32" s="30"/>
      <c r="C32" s="30"/>
      <c r="D32" s="30"/>
      <c r="E32" s="30"/>
      <c r="F32" s="30"/>
      <c r="G32" s="30"/>
      <c r="H32" s="30"/>
      <c r="I32" s="41"/>
      <c r="J32" s="41"/>
      <c r="K32" s="30"/>
      <c r="L32" s="30"/>
      <c r="M32" s="30"/>
      <c r="N32" s="30"/>
      <c r="O32" s="30"/>
      <c r="P32" s="30"/>
      <c r="Q32" s="30"/>
      <c r="R32" s="30"/>
      <c r="S32" s="30"/>
      <c r="T32" s="30"/>
      <c r="U32" s="30"/>
      <c r="V32" s="30"/>
      <c r="W32" s="30"/>
      <c r="X32" s="30"/>
      <c r="Y32" s="30"/>
      <c r="Z32" s="30"/>
      <c r="AA32" s="30"/>
      <c r="AB32" s="30"/>
      <c r="AC32" s="30"/>
      <c r="AD32" s="30"/>
      <c r="AE32" s="30"/>
    </row>
    <row r="33" spans="1:31" ht="13.5" customHeight="1" x14ac:dyDescent="0.2">
      <c r="A33" s="30"/>
      <c r="B33" s="30"/>
      <c r="C33" s="30"/>
      <c r="D33" s="30"/>
      <c r="E33" s="30"/>
      <c r="F33" s="30"/>
      <c r="G33" s="30"/>
      <c r="H33" s="30"/>
      <c r="I33" s="41"/>
      <c r="J33" s="41"/>
      <c r="K33" s="30"/>
      <c r="L33" s="30"/>
      <c r="M33" s="30"/>
      <c r="N33" s="30"/>
      <c r="O33" s="30"/>
      <c r="P33" s="30"/>
      <c r="Q33" s="30"/>
      <c r="R33" s="30"/>
      <c r="S33" s="30"/>
      <c r="T33" s="30"/>
      <c r="U33" s="30"/>
      <c r="V33" s="30"/>
      <c r="W33" s="30"/>
      <c r="X33" s="30"/>
      <c r="Y33" s="30"/>
      <c r="Z33" s="30"/>
      <c r="AA33" s="30"/>
      <c r="AB33" s="30"/>
      <c r="AC33" s="30"/>
      <c r="AD33" s="30"/>
      <c r="AE33" s="30"/>
    </row>
    <row r="34" spans="1:31" ht="13.5" customHeight="1" x14ac:dyDescent="0.2">
      <c r="A34" s="30"/>
      <c r="B34" s="30"/>
      <c r="C34" s="30"/>
      <c r="D34" s="30"/>
      <c r="E34" s="30"/>
      <c r="F34" s="30"/>
      <c r="G34" s="30"/>
      <c r="H34" s="30"/>
      <c r="I34" s="41"/>
      <c r="J34" s="41"/>
      <c r="K34" s="30"/>
      <c r="L34" s="30"/>
      <c r="M34" s="30"/>
      <c r="N34" s="30"/>
      <c r="O34" s="30"/>
      <c r="P34" s="30"/>
      <c r="Q34" s="30"/>
      <c r="R34" s="30"/>
      <c r="S34" s="30"/>
      <c r="T34" s="30"/>
      <c r="U34" s="30"/>
      <c r="V34" s="30"/>
      <c r="W34" s="30"/>
      <c r="X34" s="30"/>
      <c r="Y34" s="30"/>
      <c r="Z34" s="30"/>
      <c r="AA34" s="30"/>
      <c r="AB34" s="30"/>
      <c r="AC34" s="30"/>
      <c r="AD34" s="30"/>
      <c r="AE34" s="30"/>
    </row>
    <row r="35" spans="1:31" ht="13.5" customHeight="1" x14ac:dyDescent="0.2">
      <c r="A35" s="30"/>
      <c r="B35" s="30"/>
      <c r="C35" s="30"/>
      <c r="D35" s="30"/>
      <c r="E35" s="30"/>
      <c r="F35" s="30"/>
      <c r="G35" s="30"/>
      <c r="H35" s="30"/>
      <c r="I35" s="41"/>
      <c r="J35" s="41"/>
      <c r="K35" s="30"/>
      <c r="L35" s="30"/>
      <c r="M35" s="30"/>
      <c r="N35" s="30"/>
      <c r="O35" s="30"/>
      <c r="P35" s="30"/>
      <c r="Q35" s="30"/>
      <c r="R35" s="30"/>
      <c r="S35" s="30"/>
      <c r="T35" s="30"/>
      <c r="U35" s="30"/>
      <c r="V35" s="30"/>
      <c r="W35" s="30"/>
      <c r="X35" s="30"/>
      <c r="Y35" s="30"/>
      <c r="Z35" s="30"/>
      <c r="AA35" s="30"/>
      <c r="AB35" s="30"/>
      <c r="AC35" s="30"/>
      <c r="AD35" s="30"/>
      <c r="AE35" s="30"/>
    </row>
    <row r="36" spans="1:31" ht="13.5" customHeight="1" x14ac:dyDescent="0.2">
      <c r="A36" s="30"/>
      <c r="B36" s="30"/>
      <c r="C36" s="30"/>
      <c r="D36" s="30"/>
      <c r="E36" s="30"/>
      <c r="F36" s="30"/>
      <c r="G36" s="30"/>
      <c r="H36" s="30"/>
      <c r="I36" s="41"/>
      <c r="J36" s="41"/>
      <c r="K36" s="30"/>
      <c r="L36" s="30"/>
      <c r="M36" s="30"/>
      <c r="N36" s="30"/>
      <c r="O36" s="30"/>
      <c r="P36" s="30"/>
      <c r="Q36" s="30"/>
      <c r="R36" s="30"/>
      <c r="S36" s="30"/>
      <c r="T36" s="30"/>
      <c r="U36" s="30"/>
      <c r="V36" s="30"/>
      <c r="W36" s="30"/>
      <c r="X36" s="30"/>
      <c r="Y36" s="30"/>
      <c r="Z36" s="30"/>
      <c r="AA36" s="30"/>
      <c r="AB36" s="30"/>
      <c r="AC36" s="30"/>
      <c r="AD36" s="30"/>
      <c r="AE36" s="30"/>
    </row>
    <row r="37" spans="1:31" ht="13.5" customHeight="1" x14ac:dyDescent="0.2">
      <c r="A37" s="30"/>
      <c r="B37" s="30"/>
      <c r="C37" s="30"/>
      <c r="D37" s="30"/>
      <c r="E37" s="30"/>
      <c r="F37" s="30"/>
      <c r="G37" s="30"/>
      <c r="H37" s="30"/>
      <c r="I37" s="41"/>
      <c r="J37" s="41"/>
      <c r="K37" s="30"/>
      <c r="L37" s="30"/>
      <c r="M37" s="30"/>
      <c r="N37" s="30"/>
      <c r="O37" s="30"/>
      <c r="P37" s="30"/>
      <c r="Q37" s="30"/>
      <c r="R37" s="30"/>
      <c r="S37" s="30"/>
      <c r="T37" s="30"/>
      <c r="U37" s="30"/>
      <c r="V37" s="30"/>
      <c r="W37" s="30"/>
      <c r="X37" s="30"/>
      <c r="Y37" s="30"/>
      <c r="Z37" s="30"/>
      <c r="AA37" s="30"/>
      <c r="AB37" s="30"/>
      <c r="AC37" s="30"/>
      <c r="AD37" s="30"/>
      <c r="AE37" s="30"/>
    </row>
  </sheetData>
  <mergeCells count="15">
    <mergeCell ref="X6:AA6"/>
    <mergeCell ref="AB6:AE6"/>
    <mergeCell ref="D6:E6"/>
    <mergeCell ref="L6:M6"/>
    <mergeCell ref="N6:O6"/>
    <mergeCell ref="P6:Q6"/>
    <mergeCell ref="R6:S6"/>
    <mergeCell ref="T6:U6"/>
    <mergeCell ref="V6:W6"/>
    <mergeCell ref="J6:K6"/>
    <mergeCell ref="A6:A7"/>
    <mergeCell ref="B6:B7"/>
    <mergeCell ref="C6:C7"/>
    <mergeCell ref="F6:G6"/>
    <mergeCell ref="H6:I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92D050"/>
  </sheetPr>
  <dimension ref="A2:R41"/>
  <sheetViews>
    <sheetView workbookViewId="0">
      <pane ySplit="5" topLeftCell="A9" activePane="bottomLeft" state="frozen"/>
      <selection pane="bottomLeft" activeCell="D9" sqref="D9"/>
    </sheetView>
  </sheetViews>
  <sheetFormatPr baseColWidth="10" defaultColWidth="11.5" defaultRowHeight="15" x14ac:dyDescent="0.2"/>
  <cols>
    <col min="1" max="1" width="5.1640625" customWidth="1"/>
    <col min="2" max="2" width="39.83203125" customWidth="1"/>
    <col min="3" max="3" width="5.33203125" customWidth="1"/>
    <col min="4" max="4" width="36.83203125" customWidth="1"/>
    <col min="5" max="5" width="32" customWidth="1"/>
    <col min="6" max="6" width="7.1640625" customWidth="1"/>
    <col min="7" max="7" width="22.6640625" bestFit="1" customWidth="1"/>
    <col min="8" max="8" width="16.1640625" customWidth="1"/>
    <col min="9" max="9" width="11.5" bestFit="1" customWidth="1"/>
    <col min="12" max="12" width="13.83203125" bestFit="1" customWidth="1"/>
    <col min="13" max="13" width="28.33203125" bestFit="1" customWidth="1"/>
    <col min="14" max="14" width="23.1640625" bestFit="1" customWidth="1"/>
    <col min="15" max="15" width="19.83203125" bestFit="1" customWidth="1"/>
    <col min="16" max="16" width="37.33203125" bestFit="1" customWidth="1"/>
    <col min="18" max="18" width="39.1640625" customWidth="1"/>
  </cols>
  <sheetData>
    <row r="2" spans="1:18" ht="16" x14ac:dyDescent="0.2">
      <c r="D2" s="83" t="s">
        <v>32</v>
      </c>
    </row>
    <row r="3" spans="1:18" ht="16" x14ac:dyDescent="0.2">
      <c r="D3" s="83" t="s">
        <v>33</v>
      </c>
      <c r="E3" s="80"/>
    </row>
    <row r="4" spans="1:18" ht="16" x14ac:dyDescent="0.2">
      <c r="D4" s="83" t="s">
        <v>34</v>
      </c>
      <c r="E4" s="124" t="s">
        <v>35</v>
      </c>
      <c r="F4" s="125"/>
      <c r="G4" s="125"/>
      <c r="H4" s="125"/>
      <c r="I4" s="125"/>
      <c r="J4" s="125"/>
      <c r="K4" s="125"/>
      <c r="L4" s="125"/>
      <c r="M4" s="125"/>
      <c r="N4" s="125"/>
      <c r="O4" s="125"/>
      <c r="P4" s="125"/>
      <c r="Q4" s="125"/>
      <c r="R4" s="126"/>
    </row>
    <row r="5" spans="1:18" ht="39.75" customHeight="1" x14ac:dyDescent="0.2">
      <c r="A5" s="32" t="s">
        <v>36</v>
      </c>
      <c r="B5" s="82" t="s">
        <v>37</v>
      </c>
      <c r="D5" s="81" t="s">
        <v>38</v>
      </c>
      <c r="E5" s="81" t="s">
        <v>39</v>
      </c>
      <c r="F5" s="81" t="s">
        <v>40</v>
      </c>
      <c r="G5" s="81" t="s">
        <v>41</v>
      </c>
      <c r="H5" s="81" t="s">
        <v>42</v>
      </c>
      <c r="I5" s="81" t="s">
        <v>43</v>
      </c>
      <c r="J5" s="81" t="s">
        <v>44</v>
      </c>
      <c r="K5" s="81" t="s">
        <v>45</v>
      </c>
      <c r="L5" s="81" t="s">
        <v>46</v>
      </c>
      <c r="M5" s="81" t="s">
        <v>47</v>
      </c>
      <c r="N5" s="81" t="s">
        <v>48</v>
      </c>
      <c r="O5" s="81" t="s">
        <v>49</v>
      </c>
      <c r="P5" s="81" t="s">
        <v>50</v>
      </c>
      <c r="Q5" s="94" t="s">
        <v>51</v>
      </c>
      <c r="R5" s="93" t="s">
        <v>52</v>
      </c>
    </row>
    <row r="6" spans="1:18" ht="51.75" customHeight="1" x14ac:dyDescent="0.2">
      <c r="A6" s="33" t="s">
        <v>53</v>
      </c>
      <c r="B6" s="82" t="s">
        <v>54</v>
      </c>
      <c r="D6" s="113" t="str">
        <f>+PRIOSIS!B19</f>
        <v>SIOPER</v>
      </c>
      <c r="E6" s="61" t="s">
        <v>55</v>
      </c>
      <c r="F6" s="31" t="s">
        <v>55</v>
      </c>
      <c r="G6" s="31" t="s">
        <v>56</v>
      </c>
      <c r="H6" s="31" t="s">
        <v>36</v>
      </c>
      <c r="I6" s="31" t="s">
        <v>56</v>
      </c>
      <c r="J6" s="31" t="s">
        <v>55</v>
      </c>
      <c r="K6" s="31" t="s">
        <v>55</v>
      </c>
      <c r="L6" s="31" t="s">
        <v>57</v>
      </c>
      <c r="M6" s="31" t="s">
        <v>55</v>
      </c>
      <c r="N6" s="31" t="s">
        <v>56</v>
      </c>
      <c r="O6" s="31" t="s">
        <v>55</v>
      </c>
      <c r="P6" s="31" t="s">
        <v>56</v>
      </c>
      <c r="Q6" s="31" t="s">
        <v>56</v>
      </c>
      <c r="R6" s="95" t="s">
        <v>57</v>
      </c>
    </row>
    <row r="7" spans="1:18" ht="51.75" customHeight="1" x14ac:dyDescent="0.2">
      <c r="A7" s="34" t="s">
        <v>57</v>
      </c>
      <c r="B7" s="82" t="s">
        <v>58</v>
      </c>
      <c r="D7" s="112" t="s">
        <v>29</v>
      </c>
      <c r="E7" s="61" t="s">
        <v>55</v>
      </c>
      <c r="F7" s="31" t="s">
        <v>55</v>
      </c>
      <c r="G7" s="31" t="s">
        <v>55</v>
      </c>
      <c r="H7" s="31" t="s">
        <v>55</v>
      </c>
      <c r="I7" s="31" t="s">
        <v>36</v>
      </c>
      <c r="J7" s="31" t="s">
        <v>55</v>
      </c>
      <c r="K7" s="31" t="s">
        <v>56</v>
      </c>
      <c r="L7" s="31" t="s">
        <v>56</v>
      </c>
      <c r="M7" s="31" t="s">
        <v>55</v>
      </c>
      <c r="N7" s="31" t="s">
        <v>55</v>
      </c>
      <c r="O7" s="31" t="s">
        <v>55</v>
      </c>
      <c r="P7" s="31" t="s">
        <v>56</v>
      </c>
      <c r="Q7" s="31" t="s">
        <v>55</v>
      </c>
      <c r="R7" s="31" t="s">
        <v>55</v>
      </c>
    </row>
    <row r="8" spans="1:18" ht="39.75" customHeight="1" x14ac:dyDescent="0.2">
      <c r="A8" s="35" t="s">
        <v>56</v>
      </c>
      <c r="B8" s="82" t="s">
        <v>59</v>
      </c>
      <c r="D8" s="114" t="s">
        <v>24</v>
      </c>
      <c r="E8" s="61" t="s">
        <v>36</v>
      </c>
      <c r="F8" s="31" t="s">
        <v>55</v>
      </c>
      <c r="G8" s="31" t="s">
        <v>55</v>
      </c>
      <c r="H8" s="31" t="s">
        <v>55</v>
      </c>
      <c r="I8" s="31" t="s">
        <v>55</v>
      </c>
      <c r="J8" s="31" t="s">
        <v>55</v>
      </c>
      <c r="K8" s="31" t="s">
        <v>55</v>
      </c>
      <c r="L8" s="31" t="s">
        <v>57</v>
      </c>
      <c r="M8" s="31" t="s">
        <v>56</v>
      </c>
      <c r="N8" s="31" t="s">
        <v>56</v>
      </c>
      <c r="O8" s="31" t="s">
        <v>55</v>
      </c>
      <c r="P8" s="31" t="s">
        <v>55</v>
      </c>
      <c r="Q8" s="31" t="s">
        <v>55</v>
      </c>
      <c r="R8" s="31" t="s">
        <v>55</v>
      </c>
    </row>
    <row r="9" spans="1:18" ht="39.75" customHeight="1" x14ac:dyDescent="0.2">
      <c r="A9" s="36" t="s">
        <v>55</v>
      </c>
      <c r="B9" s="82" t="s">
        <v>60</v>
      </c>
      <c r="D9" s="60"/>
      <c r="E9" s="61"/>
      <c r="F9" s="31"/>
      <c r="G9" s="31"/>
      <c r="H9" s="31"/>
      <c r="I9" s="31"/>
      <c r="J9" s="31"/>
      <c r="K9" s="31"/>
      <c r="L9" s="31"/>
      <c r="M9" s="31"/>
      <c r="N9" s="31"/>
      <c r="O9" s="31"/>
      <c r="P9" s="31"/>
      <c r="Q9" s="31"/>
      <c r="R9" s="31"/>
    </row>
    <row r="10" spans="1:18" ht="43.5" customHeight="1" x14ac:dyDescent="0.2">
      <c r="D10" s="60"/>
      <c r="E10" s="61"/>
      <c r="F10" s="31"/>
      <c r="G10" s="31"/>
      <c r="H10" s="31"/>
      <c r="I10" s="31"/>
      <c r="J10" s="31"/>
      <c r="K10" s="31"/>
      <c r="L10" s="31"/>
      <c r="M10" s="31"/>
      <c r="N10" s="31"/>
      <c r="O10" s="31"/>
      <c r="P10" s="31"/>
      <c r="Q10" s="31"/>
      <c r="R10" s="31"/>
    </row>
    <row r="11" spans="1:18" ht="43.5" customHeight="1" x14ac:dyDescent="0.2">
      <c r="D11" s="60"/>
      <c r="E11" s="61"/>
      <c r="F11" s="31"/>
      <c r="G11" s="31"/>
      <c r="H11" s="31"/>
      <c r="I11" s="31"/>
      <c r="J11" s="31"/>
      <c r="K11" s="31"/>
      <c r="L11" s="31"/>
      <c r="M11" s="31"/>
      <c r="N11" s="31"/>
      <c r="O11" s="31"/>
      <c r="P11" s="31"/>
      <c r="Q11" s="31"/>
      <c r="R11" s="31"/>
    </row>
    <row r="12" spans="1:18" ht="43.5" customHeight="1" x14ac:dyDescent="0.2">
      <c r="D12" s="75"/>
      <c r="E12" s="61"/>
      <c r="F12" s="31"/>
      <c r="G12" s="31"/>
      <c r="H12" s="31"/>
      <c r="I12" s="31"/>
      <c r="J12" s="31"/>
      <c r="K12" s="31"/>
      <c r="L12" s="31"/>
      <c r="M12" s="31"/>
      <c r="N12" s="31"/>
      <c r="O12" s="31"/>
      <c r="P12" s="31"/>
      <c r="Q12" s="31"/>
      <c r="R12" s="31"/>
    </row>
    <row r="13" spans="1:18" ht="43.5" customHeight="1" x14ac:dyDescent="0.2">
      <c r="D13" s="72"/>
      <c r="E13" s="61"/>
      <c r="F13" s="31"/>
      <c r="G13" s="31"/>
      <c r="H13" s="31"/>
      <c r="I13" s="31"/>
      <c r="J13" s="31"/>
      <c r="K13" s="31"/>
      <c r="L13" s="31"/>
      <c r="M13" s="31"/>
      <c r="N13" s="31"/>
      <c r="O13" s="31"/>
      <c r="P13" s="31"/>
      <c r="Q13" s="31"/>
      <c r="R13" s="31"/>
    </row>
    <row r="14" spans="1:18" ht="43.5" customHeight="1" x14ac:dyDescent="0.2">
      <c r="D14" s="72"/>
      <c r="E14" s="61"/>
      <c r="F14" s="61"/>
      <c r="G14" s="61"/>
      <c r="H14" s="31"/>
      <c r="I14" s="31"/>
      <c r="J14" s="31"/>
      <c r="K14" s="31"/>
      <c r="L14" s="31"/>
      <c r="M14" s="31"/>
      <c r="N14" s="31"/>
      <c r="O14" s="31"/>
      <c r="P14" s="31"/>
      <c r="Q14" s="31"/>
      <c r="R14" s="31"/>
    </row>
    <row r="15" spans="1:18" ht="43.5" customHeight="1" x14ac:dyDescent="0.2">
      <c r="D15" s="75"/>
      <c r="E15" s="74"/>
      <c r="F15" s="61"/>
      <c r="G15" s="61"/>
      <c r="H15" s="31"/>
      <c r="I15" s="31"/>
      <c r="J15" s="31"/>
      <c r="K15" s="31"/>
      <c r="L15" s="31"/>
      <c r="M15" s="31"/>
      <c r="N15" s="31"/>
      <c r="O15" s="31"/>
      <c r="P15" s="31"/>
      <c r="Q15" s="31"/>
      <c r="R15" s="31"/>
    </row>
    <row r="16" spans="1:18" ht="43.5" customHeight="1" x14ac:dyDescent="0.2">
      <c r="D16" s="76"/>
      <c r="E16" s="73"/>
      <c r="F16" s="61"/>
      <c r="G16" s="61"/>
      <c r="H16" s="31"/>
      <c r="I16" s="31"/>
      <c r="J16" s="31"/>
      <c r="K16" s="31"/>
      <c r="L16" s="31"/>
      <c r="M16" s="31"/>
      <c r="N16" s="31"/>
      <c r="O16" s="31"/>
      <c r="P16" s="31"/>
      <c r="Q16" s="31"/>
      <c r="R16" s="31"/>
    </row>
    <row r="17" spans="1:18" ht="43.5" customHeight="1" x14ac:dyDescent="0.2">
      <c r="D17" s="76"/>
      <c r="E17" s="73"/>
      <c r="F17" s="61"/>
      <c r="G17" s="61"/>
      <c r="H17" s="31"/>
      <c r="I17" s="31"/>
      <c r="J17" s="31"/>
      <c r="K17" s="31"/>
      <c r="L17" s="31"/>
      <c r="M17" s="31"/>
      <c r="N17" s="31"/>
      <c r="O17" s="31"/>
      <c r="P17" s="31"/>
      <c r="Q17" s="31"/>
      <c r="R17" s="31"/>
    </row>
    <row r="18" spans="1:18" ht="43.5" customHeight="1" x14ac:dyDescent="0.2">
      <c r="A18" s="52"/>
      <c r="B18" s="53"/>
    </row>
    <row r="19" spans="1:18" ht="43.5" customHeight="1" x14ac:dyDescent="0.2">
      <c r="A19" s="52"/>
      <c r="B19" s="53"/>
    </row>
    <row r="20" spans="1:18" ht="43.5" customHeight="1" x14ac:dyDescent="0.2">
      <c r="A20" s="52"/>
      <c r="B20" s="53"/>
    </row>
    <row r="21" spans="1:18" ht="43.5" customHeight="1" x14ac:dyDescent="0.2">
      <c r="A21" s="52"/>
      <c r="B21" s="53"/>
    </row>
    <row r="22" spans="1:18" ht="43.5" customHeight="1" x14ac:dyDescent="0.2">
      <c r="A22" s="52"/>
      <c r="B22" s="53"/>
    </row>
    <row r="23" spans="1:18" ht="43.5" customHeight="1" x14ac:dyDescent="0.2">
      <c r="A23" s="52"/>
      <c r="B23" s="53"/>
    </row>
    <row r="24" spans="1:18" ht="43.5" customHeight="1" x14ac:dyDescent="0.2">
      <c r="A24" s="52"/>
      <c r="B24" s="53"/>
    </row>
    <row r="25" spans="1:18" ht="43.5" customHeight="1" x14ac:dyDescent="0.2">
      <c r="A25" s="55"/>
      <c r="B25" s="56"/>
    </row>
    <row r="26" spans="1:18" ht="43.5" customHeight="1" x14ac:dyDescent="0.2">
      <c r="A26" s="52"/>
      <c r="B26" s="53"/>
    </row>
    <row r="27" spans="1:18" ht="43.5" customHeight="1" x14ac:dyDescent="0.2">
      <c r="A27" s="52"/>
      <c r="B27" s="56"/>
    </row>
    <row r="28" spans="1:18" ht="43.5" customHeight="1" x14ac:dyDescent="0.2">
      <c r="A28" s="55"/>
      <c r="B28" s="54"/>
    </row>
    <row r="29" spans="1:18" ht="43.5" customHeight="1" x14ac:dyDescent="0.2">
      <c r="A29" s="52"/>
      <c r="B29" s="53"/>
    </row>
    <row r="30" spans="1:18" ht="43.5" customHeight="1" x14ac:dyDescent="0.2">
      <c r="A30" s="52"/>
      <c r="B30" s="53"/>
    </row>
    <row r="31" spans="1:18" ht="43.5" customHeight="1" x14ac:dyDescent="0.2">
      <c r="A31" s="55"/>
      <c r="B31" s="53"/>
    </row>
    <row r="32" spans="1:18" ht="43.5" customHeight="1" x14ac:dyDescent="0.2">
      <c r="A32" s="52"/>
      <c r="B32" s="53"/>
    </row>
    <row r="33" spans="1:17" ht="43.5" customHeight="1" x14ac:dyDescent="0.2">
      <c r="A33" s="52"/>
      <c r="B33" s="53"/>
    </row>
    <row r="34" spans="1:17" ht="43.5" customHeight="1" x14ac:dyDescent="0.2">
      <c r="A34" s="55"/>
      <c r="B34" s="54"/>
    </row>
    <row r="35" spans="1:17" ht="43.5" customHeight="1" x14ac:dyDescent="0.2">
      <c r="A35" s="52"/>
      <c r="B35" s="53"/>
    </row>
    <row r="36" spans="1:17" ht="43.5" customHeight="1" x14ac:dyDescent="0.2">
      <c r="A36" s="52"/>
      <c r="B36" s="53"/>
    </row>
    <row r="37" spans="1:17" ht="43.5" customHeight="1" x14ac:dyDescent="0.2"/>
    <row r="38" spans="1:17" ht="43.5" customHeight="1" x14ac:dyDescent="0.2"/>
    <row r="39" spans="1:17" s="80" customFormat="1" ht="43.5" customHeight="1" x14ac:dyDescent="0.2">
      <c r="D39" s="84"/>
      <c r="E39" s="85"/>
      <c r="F39" s="85"/>
      <c r="G39" s="85"/>
      <c r="H39" s="85"/>
      <c r="I39" s="85"/>
      <c r="J39" s="85"/>
      <c r="K39" s="85"/>
      <c r="L39" s="85"/>
      <c r="M39" s="85"/>
      <c r="N39" s="85"/>
      <c r="O39" s="85"/>
      <c r="P39" s="85"/>
      <c r="Q39" s="85"/>
    </row>
    <row r="40" spans="1:17" ht="43.5" customHeight="1" x14ac:dyDescent="0.2">
      <c r="D40" s="84"/>
      <c r="E40" s="85"/>
      <c r="F40" s="85"/>
      <c r="G40" s="85"/>
      <c r="H40" s="85"/>
      <c r="I40" s="85"/>
      <c r="J40" s="85"/>
      <c r="K40" s="85"/>
      <c r="L40" s="85"/>
      <c r="M40" s="85"/>
      <c r="N40" s="85"/>
      <c r="O40" s="85"/>
      <c r="P40" s="85"/>
      <c r="Q40" s="85"/>
    </row>
    <row r="41" spans="1:17" ht="43.5" customHeight="1" x14ac:dyDescent="0.2">
      <c r="D41" s="84"/>
      <c r="E41" s="85"/>
      <c r="F41" s="85"/>
      <c r="G41" s="85"/>
      <c r="H41" s="85"/>
      <c r="I41" s="85"/>
      <c r="J41" s="85"/>
      <c r="K41" s="85"/>
      <c r="L41" s="85"/>
      <c r="M41" s="85"/>
      <c r="N41" s="85"/>
      <c r="O41" s="85"/>
      <c r="P41" s="85"/>
      <c r="Q41" s="85"/>
    </row>
  </sheetData>
  <mergeCells count="1">
    <mergeCell ref="E4:R4"/>
  </mergeCells>
  <conditionalFormatting sqref="E6:Q9 R6:R17 E14:E17">
    <cfRule type="cellIs" dxfId="152" priority="136" operator="equal">
      <formula>$A$8</formula>
    </cfRule>
    <cfRule type="cellIs" dxfId="151" priority="137" operator="equal">
      <formula>$A$7</formula>
    </cfRule>
    <cfRule type="cellIs" dxfId="150" priority="138" operator="equal">
      <formula>$A$6</formula>
    </cfRule>
    <cfRule type="cellIs" dxfId="149" priority="139" operator="equal">
      <formula>$A$5</formula>
    </cfRule>
    <cfRule type="cellIs" dxfId="148" priority="140" operator="equal">
      <formula>$A$5</formula>
    </cfRule>
  </conditionalFormatting>
  <conditionalFormatting sqref="E10:Q10">
    <cfRule type="cellIs" dxfId="147" priority="121" operator="equal">
      <formula>$A$8</formula>
    </cfRule>
    <cfRule type="cellIs" dxfId="146" priority="122" operator="equal">
      <formula>$A$7</formula>
    </cfRule>
    <cfRule type="cellIs" dxfId="145" priority="123" operator="equal">
      <formula>$A$6</formula>
    </cfRule>
    <cfRule type="cellIs" dxfId="144" priority="124" operator="equal">
      <formula>$A$5</formula>
    </cfRule>
    <cfRule type="cellIs" dxfId="143" priority="125" operator="equal">
      <formula>$A$5</formula>
    </cfRule>
  </conditionalFormatting>
  <conditionalFormatting sqref="E11:Q11">
    <cfRule type="cellIs" dxfId="142" priority="116" operator="equal">
      <formula>$A$8</formula>
    </cfRule>
    <cfRule type="cellIs" dxfId="141" priority="117" operator="equal">
      <formula>$A$7</formula>
    </cfRule>
    <cfRule type="cellIs" dxfId="140" priority="118" operator="equal">
      <formula>$A$6</formula>
    </cfRule>
    <cfRule type="cellIs" dxfId="139" priority="119" operator="equal">
      <formula>$A$5</formula>
    </cfRule>
    <cfRule type="cellIs" dxfId="138" priority="120" operator="equal">
      <formula>$A$5</formula>
    </cfRule>
  </conditionalFormatting>
  <conditionalFormatting sqref="E12:Q12">
    <cfRule type="cellIs" dxfId="137" priority="111" operator="equal">
      <formula>$A$8</formula>
    </cfRule>
    <cfRule type="cellIs" dxfId="136" priority="112" operator="equal">
      <formula>$A$7</formula>
    </cfRule>
    <cfRule type="cellIs" dxfId="135" priority="113" operator="equal">
      <formula>$A$6</formula>
    </cfRule>
    <cfRule type="cellIs" dxfId="134" priority="114" operator="equal">
      <formula>$A$5</formula>
    </cfRule>
    <cfRule type="cellIs" dxfId="133" priority="115" operator="equal">
      <formula>$A$5</formula>
    </cfRule>
  </conditionalFormatting>
  <conditionalFormatting sqref="E13:Q13">
    <cfRule type="cellIs" dxfId="132" priority="106" operator="equal">
      <formula>$A$8</formula>
    </cfRule>
    <cfRule type="cellIs" dxfId="131" priority="107" operator="equal">
      <formula>$A$7</formula>
    </cfRule>
    <cfRule type="cellIs" dxfId="130" priority="108" operator="equal">
      <formula>$A$6</formula>
    </cfRule>
    <cfRule type="cellIs" dxfId="129" priority="109" operator="equal">
      <formula>$A$5</formula>
    </cfRule>
    <cfRule type="cellIs" dxfId="128" priority="110" operator="equal">
      <formula>$A$5</formula>
    </cfRule>
  </conditionalFormatting>
  <conditionalFormatting sqref="H14:Q16">
    <cfRule type="cellIs" dxfId="127" priority="96" operator="equal">
      <formula>$A$8</formula>
    </cfRule>
    <cfRule type="cellIs" dxfId="126" priority="97" operator="equal">
      <formula>$A$7</formula>
    </cfRule>
    <cfRule type="cellIs" dxfId="125" priority="98" operator="equal">
      <formula>$A$6</formula>
    </cfRule>
    <cfRule type="cellIs" dxfId="124" priority="99" operator="equal">
      <formula>$A$5</formula>
    </cfRule>
    <cfRule type="cellIs" dxfId="123" priority="100" operator="equal">
      <formula>$A$5</formula>
    </cfRule>
  </conditionalFormatting>
  <conditionalFormatting sqref="F14:G16">
    <cfRule type="cellIs" dxfId="122" priority="91" operator="equal">
      <formula>$A$8</formula>
    </cfRule>
    <cfRule type="cellIs" dxfId="121" priority="92" operator="equal">
      <formula>$A$7</formula>
    </cfRule>
    <cfRule type="cellIs" dxfId="120" priority="93" operator="equal">
      <formula>$A$6</formula>
    </cfRule>
    <cfRule type="cellIs" dxfId="119" priority="94" operator="equal">
      <formula>$A$5</formula>
    </cfRule>
    <cfRule type="cellIs" dxfId="118" priority="95" operator="equal">
      <formula>$A$5</formula>
    </cfRule>
  </conditionalFormatting>
  <conditionalFormatting sqref="H17:Q17">
    <cfRule type="cellIs" dxfId="117" priority="86" operator="equal">
      <formula>$A$8</formula>
    </cfRule>
    <cfRule type="cellIs" dxfId="116" priority="87" operator="equal">
      <formula>$A$7</formula>
    </cfRule>
    <cfRule type="cellIs" dxfId="115" priority="88" operator="equal">
      <formula>$A$6</formula>
    </cfRule>
    <cfRule type="cellIs" dxfId="114" priority="89" operator="equal">
      <formula>$A$5</formula>
    </cfRule>
    <cfRule type="cellIs" dxfId="113" priority="90" operator="equal">
      <formula>$A$5</formula>
    </cfRule>
  </conditionalFormatting>
  <conditionalFormatting sqref="F17:G17">
    <cfRule type="cellIs" dxfId="112" priority="81" operator="equal">
      <formula>$A$8</formula>
    </cfRule>
    <cfRule type="cellIs" dxfId="111" priority="82" operator="equal">
      <formula>$A$7</formula>
    </cfRule>
    <cfRule type="cellIs" dxfId="110" priority="83" operator="equal">
      <formula>$A$6</formula>
    </cfRule>
    <cfRule type="cellIs" dxfId="109" priority="84" operator="equal">
      <formula>$A$5</formula>
    </cfRule>
    <cfRule type="cellIs" dxfId="108" priority="85" operator="equal">
      <formula>$A$5</formula>
    </cfRule>
  </conditionalFormatting>
  <conditionalFormatting sqref="P39:P41">
    <cfRule type="cellIs" dxfId="107" priority="76" operator="equal">
      <formula>$A$8</formula>
    </cfRule>
    <cfRule type="cellIs" dxfId="106" priority="77" operator="equal">
      <formula>$A$7</formula>
    </cfRule>
    <cfRule type="cellIs" dxfId="105" priority="78" operator="equal">
      <formula>$A$6</formula>
    </cfRule>
    <cfRule type="cellIs" dxfId="104" priority="79" operator="equal">
      <formula>$A$5</formula>
    </cfRule>
    <cfRule type="cellIs" dxfId="103" priority="80" operator="equal">
      <formula>$A$5</formula>
    </cfRule>
  </conditionalFormatting>
  <conditionalFormatting sqref="E39:H39">
    <cfRule type="cellIs" dxfId="102" priority="71" operator="equal">
      <formula>$A$8</formula>
    </cfRule>
    <cfRule type="cellIs" dxfId="101" priority="72" operator="equal">
      <formula>$A$7</formula>
    </cfRule>
    <cfRule type="cellIs" dxfId="100" priority="73" operator="equal">
      <formula>$A$6</formula>
    </cfRule>
    <cfRule type="cellIs" dxfId="99" priority="74" operator="equal">
      <formula>$A$5</formula>
    </cfRule>
    <cfRule type="cellIs" dxfId="98" priority="75" operator="equal">
      <formula>$A$5</formula>
    </cfRule>
  </conditionalFormatting>
  <conditionalFormatting sqref="I39:J39">
    <cfRule type="cellIs" dxfId="97" priority="61" operator="equal">
      <formula>$A$8</formula>
    </cfRule>
    <cfRule type="cellIs" dxfId="96" priority="62" operator="equal">
      <formula>$A$7</formula>
    </cfRule>
    <cfRule type="cellIs" dxfId="95" priority="63" operator="equal">
      <formula>$A$6</formula>
    </cfRule>
    <cfRule type="cellIs" dxfId="94" priority="64" operator="equal">
      <formula>$A$5</formula>
    </cfRule>
    <cfRule type="cellIs" dxfId="93" priority="65" operator="equal">
      <formula>$A$5</formula>
    </cfRule>
  </conditionalFormatting>
  <conditionalFormatting sqref="K39:K41">
    <cfRule type="cellIs" dxfId="92" priority="56" operator="equal">
      <formula>$A$8</formula>
    </cfRule>
    <cfRule type="cellIs" dxfId="91" priority="57" operator="equal">
      <formula>$A$7</formula>
    </cfRule>
    <cfRule type="cellIs" dxfId="90" priority="58" operator="equal">
      <formula>$A$6</formula>
    </cfRule>
    <cfRule type="cellIs" dxfId="89" priority="59" operator="equal">
      <formula>$A$5</formula>
    </cfRule>
    <cfRule type="cellIs" dxfId="88" priority="60" operator="equal">
      <formula>$A$5</formula>
    </cfRule>
  </conditionalFormatting>
  <conditionalFormatting sqref="L39:O39">
    <cfRule type="cellIs" dxfId="87" priority="51" operator="equal">
      <formula>$A$8</formula>
    </cfRule>
    <cfRule type="cellIs" dxfId="86" priority="52" operator="equal">
      <formula>$A$7</formula>
    </cfRule>
    <cfRule type="cellIs" dxfId="85" priority="53" operator="equal">
      <formula>$A$6</formula>
    </cfRule>
    <cfRule type="cellIs" dxfId="84" priority="54" operator="equal">
      <formula>$A$5</formula>
    </cfRule>
    <cfRule type="cellIs" dxfId="83" priority="55" operator="equal">
      <formula>$A$5</formula>
    </cfRule>
  </conditionalFormatting>
  <conditionalFormatting sqref="Q39:Q41">
    <cfRule type="cellIs" dxfId="82" priority="46" operator="equal">
      <formula>$A$8</formula>
    </cfRule>
    <cfRule type="cellIs" dxfId="81" priority="47" operator="equal">
      <formula>$A$7</formula>
    </cfRule>
    <cfRule type="cellIs" dxfId="80" priority="48" operator="equal">
      <formula>$A$6</formula>
    </cfRule>
    <cfRule type="cellIs" dxfId="79" priority="49" operator="equal">
      <formula>$A$5</formula>
    </cfRule>
    <cfRule type="cellIs" dxfId="78" priority="50" operator="equal">
      <formula>$A$5</formula>
    </cfRule>
  </conditionalFormatting>
  <conditionalFormatting sqref="E40:H40">
    <cfRule type="cellIs" dxfId="77" priority="41" operator="equal">
      <formula>$A$8</formula>
    </cfRule>
    <cfRule type="cellIs" dxfId="76" priority="42" operator="equal">
      <formula>$A$7</formula>
    </cfRule>
    <cfRule type="cellIs" dxfId="75" priority="43" operator="equal">
      <formula>$A$6</formula>
    </cfRule>
    <cfRule type="cellIs" dxfId="74" priority="44" operator="equal">
      <formula>$A$5</formula>
    </cfRule>
    <cfRule type="cellIs" dxfId="73" priority="45" operator="equal">
      <formula>$A$5</formula>
    </cfRule>
  </conditionalFormatting>
  <conditionalFormatting sqref="I40:J40">
    <cfRule type="cellIs" dxfId="72" priority="36" operator="equal">
      <formula>$A$8</formula>
    </cfRule>
    <cfRule type="cellIs" dxfId="71" priority="37" operator="equal">
      <formula>$A$7</formula>
    </cfRule>
    <cfRule type="cellIs" dxfId="70" priority="38" operator="equal">
      <formula>$A$6</formula>
    </cfRule>
    <cfRule type="cellIs" dxfId="69" priority="39" operator="equal">
      <formula>$A$5</formula>
    </cfRule>
    <cfRule type="cellIs" dxfId="68" priority="40" operator="equal">
      <formula>$A$5</formula>
    </cfRule>
  </conditionalFormatting>
  <conditionalFormatting sqref="L40:O40">
    <cfRule type="cellIs" dxfId="67" priority="31" operator="equal">
      <formula>$A$8</formula>
    </cfRule>
    <cfRule type="cellIs" dxfId="66" priority="32" operator="equal">
      <formula>$A$7</formula>
    </cfRule>
    <cfRule type="cellIs" dxfId="65" priority="33" operator="equal">
      <formula>$A$6</formula>
    </cfRule>
    <cfRule type="cellIs" dxfId="64" priority="34" operator="equal">
      <formula>$A$5</formula>
    </cfRule>
    <cfRule type="cellIs" dxfId="63" priority="35" operator="equal">
      <formula>$A$5</formula>
    </cfRule>
  </conditionalFormatting>
  <conditionalFormatting sqref="E41:H41">
    <cfRule type="cellIs" dxfId="62" priority="26" operator="equal">
      <formula>$A$8</formula>
    </cfRule>
    <cfRule type="cellIs" dxfId="61" priority="27" operator="equal">
      <formula>$A$7</formula>
    </cfRule>
    <cfRule type="cellIs" dxfId="60" priority="28" operator="equal">
      <formula>$A$6</formula>
    </cfRule>
    <cfRule type="cellIs" dxfId="59" priority="29" operator="equal">
      <formula>$A$5</formula>
    </cfRule>
    <cfRule type="cellIs" dxfId="58" priority="30" operator="equal">
      <formula>$A$5</formula>
    </cfRule>
  </conditionalFormatting>
  <conditionalFormatting sqref="I41:J41">
    <cfRule type="cellIs" dxfId="57" priority="21" operator="equal">
      <formula>$A$8</formula>
    </cfRule>
    <cfRule type="cellIs" dxfId="56" priority="22" operator="equal">
      <formula>$A$7</formula>
    </cfRule>
    <cfRule type="cellIs" dxfId="55" priority="23" operator="equal">
      <formula>$A$6</formula>
    </cfRule>
    <cfRule type="cellIs" dxfId="54" priority="24" operator="equal">
      <formula>$A$5</formula>
    </cfRule>
    <cfRule type="cellIs" dxfId="53" priority="25" operator="equal">
      <formula>$A$5</formula>
    </cfRule>
  </conditionalFormatting>
  <conditionalFormatting sqref="L41:O41">
    <cfRule type="cellIs" dxfId="52" priority="16" operator="equal">
      <formula>$A$8</formula>
    </cfRule>
    <cfRule type="cellIs" dxfId="51" priority="17" operator="equal">
      <formula>$A$7</formula>
    </cfRule>
    <cfRule type="cellIs" dxfId="50" priority="18" operator="equal">
      <formula>$A$6</formula>
    </cfRule>
    <cfRule type="cellIs" dxfId="49" priority="19" operator="equal">
      <formula>$A$5</formula>
    </cfRule>
    <cfRule type="cellIs" dxfId="48" priority="20" operator="equal">
      <formula>$A$5</formula>
    </cfRule>
  </conditionalFormatting>
  <dataValidations count="1">
    <dataValidation type="list" allowBlank="1" showInputMessage="1" showErrorMessage="1" sqref="E39:Q41 E6:R17">
      <formula1>$A$5:$A$9</formula1>
    </dataValidation>
  </dataValidations>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tabColor rgb="FFFF5050"/>
    <pageSetUpPr fitToPage="1"/>
  </sheetPr>
  <dimension ref="A1:O22"/>
  <sheetViews>
    <sheetView tabSelected="1" topLeftCell="A2" zoomScale="89" zoomScaleNormal="50" zoomScalePageLayoutView="50" workbookViewId="0">
      <pane ySplit="5" topLeftCell="A7" activePane="bottomLeft" state="frozen"/>
      <selection activeCell="A2" sqref="A2"/>
      <selection pane="bottomLeft" activeCell="A20" sqref="A20"/>
    </sheetView>
  </sheetViews>
  <sheetFormatPr baseColWidth="10" defaultColWidth="11.5" defaultRowHeight="14" x14ac:dyDescent="0.2"/>
  <cols>
    <col min="1" max="1" width="108.83203125" style="1" customWidth="1"/>
    <col min="2" max="2" width="33.6640625" style="1" customWidth="1"/>
    <col min="3" max="3" width="86.6640625" style="1" customWidth="1"/>
    <col min="4" max="4" width="33.6640625" style="1" customWidth="1"/>
    <col min="5" max="5" width="29.5" style="1" customWidth="1"/>
    <col min="6" max="6" width="83.5" style="1" customWidth="1"/>
    <col min="7" max="7" width="26.1640625" style="99" hidden="1" customWidth="1"/>
    <col min="8" max="9" width="20.5" style="1" customWidth="1"/>
    <col min="10" max="10" width="20.5" style="2" customWidth="1"/>
    <col min="11" max="12" width="20.5" style="1" customWidth="1"/>
    <col min="13" max="13" width="20.5" style="1" hidden="1" customWidth="1"/>
    <col min="14" max="14" width="20.5" style="1" customWidth="1"/>
    <col min="15" max="15" width="22.83203125" style="1" bestFit="1" customWidth="1"/>
    <col min="16" max="16384" width="11.5" style="1"/>
  </cols>
  <sheetData>
    <row r="1" spans="1:15" ht="41.25" customHeight="1" x14ac:dyDescent="0.2">
      <c r="A1" s="133" t="s">
        <v>61</v>
      </c>
      <c r="B1" s="133"/>
      <c r="C1" s="133"/>
      <c r="D1" s="133"/>
      <c r="E1" s="133"/>
      <c r="F1" s="133"/>
      <c r="G1" s="133"/>
      <c r="H1" s="133"/>
      <c r="I1" s="133"/>
      <c r="J1" s="133"/>
      <c r="K1" s="133"/>
      <c r="L1" s="134"/>
      <c r="M1" s="134"/>
      <c r="N1" s="39"/>
    </row>
    <row r="2" spans="1:15" ht="16" x14ac:dyDescent="0.2">
      <c r="A2" s="86" t="s">
        <v>2</v>
      </c>
      <c r="B2" s="141" t="s">
        <v>62</v>
      </c>
      <c r="C2" s="142"/>
      <c r="D2" s="142"/>
      <c r="E2" s="142"/>
      <c r="F2" s="142"/>
      <c r="G2" s="142"/>
      <c r="H2" s="142"/>
      <c r="I2" s="142"/>
      <c r="J2" s="142"/>
      <c r="K2" s="142"/>
      <c r="L2" s="143"/>
      <c r="M2" s="143"/>
      <c r="N2" s="143"/>
      <c r="O2" s="106"/>
    </row>
    <row r="3" spans="1:15" ht="33.75" customHeight="1" x14ac:dyDescent="0.2">
      <c r="A3" s="86" t="s">
        <v>1</v>
      </c>
      <c r="B3" s="141" t="s">
        <v>63</v>
      </c>
      <c r="C3" s="142"/>
      <c r="D3" s="107"/>
      <c r="E3" s="107"/>
      <c r="F3" s="107"/>
      <c r="G3" s="107"/>
      <c r="H3" s="107"/>
      <c r="I3" s="107"/>
      <c r="J3" s="107"/>
      <c r="K3" s="108"/>
      <c r="L3" s="105" t="s">
        <v>64</v>
      </c>
      <c r="M3" s="106"/>
      <c r="N3" s="106"/>
      <c r="O3" s="106"/>
    </row>
    <row r="4" spans="1:15" ht="20.25" customHeight="1" x14ac:dyDescent="0.2">
      <c r="A4" s="86" t="s">
        <v>65</v>
      </c>
      <c r="B4" s="130"/>
      <c r="C4" s="131"/>
      <c r="D4" s="131"/>
      <c r="E4" s="131"/>
      <c r="F4" s="131"/>
      <c r="G4" s="131"/>
      <c r="H4" s="131"/>
      <c r="I4" s="131"/>
      <c r="J4" s="131"/>
      <c r="K4" s="131"/>
      <c r="L4" s="131"/>
      <c r="M4" s="132"/>
      <c r="N4" s="87"/>
      <c r="O4" s="109"/>
    </row>
    <row r="5" spans="1:15" ht="45" customHeight="1" x14ac:dyDescent="0.2">
      <c r="A5" s="135" t="s">
        <v>66</v>
      </c>
      <c r="B5" s="135" t="s">
        <v>67</v>
      </c>
      <c r="C5" s="135" t="s">
        <v>68</v>
      </c>
      <c r="D5" s="137" t="s">
        <v>69</v>
      </c>
      <c r="E5" s="135" t="s">
        <v>70</v>
      </c>
      <c r="F5" s="139" t="s">
        <v>71</v>
      </c>
      <c r="G5" s="96" t="s">
        <v>72</v>
      </c>
      <c r="H5" s="102" t="s">
        <v>73</v>
      </c>
      <c r="I5" s="88" t="s">
        <v>74</v>
      </c>
      <c r="J5" s="88" t="s">
        <v>75</v>
      </c>
      <c r="K5" s="88" t="s">
        <v>76</v>
      </c>
      <c r="L5" s="88" t="s">
        <v>77</v>
      </c>
      <c r="M5" s="86" t="s">
        <v>78</v>
      </c>
      <c r="N5" s="128" t="s">
        <v>79</v>
      </c>
      <c r="O5" s="127" t="s">
        <v>80</v>
      </c>
    </row>
    <row r="6" spans="1:15" ht="28.5" customHeight="1" x14ac:dyDescent="0.2">
      <c r="A6" s="136"/>
      <c r="B6" s="136"/>
      <c r="C6" s="136"/>
      <c r="D6" s="138"/>
      <c r="E6" s="136"/>
      <c r="F6" s="140"/>
      <c r="G6" s="96"/>
      <c r="H6" s="120">
        <v>10</v>
      </c>
      <c r="I6" s="88">
        <v>20</v>
      </c>
      <c r="J6" s="88">
        <v>15</v>
      </c>
      <c r="K6" s="88">
        <v>15</v>
      </c>
      <c r="L6" s="88">
        <v>40</v>
      </c>
      <c r="M6" s="86" t="s">
        <v>81</v>
      </c>
      <c r="N6" s="129"/>
      <c r="O6" s="127"/>
    </row>
    <row r="7" spans="1:15" ht="24" customHeight="1" x14ac:dyDescent="0.2">
      <c r="A7" s="5" t="s">
        <v>82</v>
      </c>
      <c r="B7" s="4" t="s">
        <v>83</v>
      </c>
      <c r="C7" s="4" t="s">
        <v>84</v>
      </c>
      <c r="D7" s="47" t="s">
        <v>27</v>
      </c>
      <c r="E7" s="4" t="s">
        <v>85</v>
      </c>
      <c r="F7" s="100" t="s">
        <v>86</v>
      </c>
      <c r="G7" s="117"/>
      <c r="H7" s="97">
        <v>2</v>
      </c>
      <c r="I7" s="103">
        <v>4</v>
      </c>
      <c r="J7" s="3">
        <v>4</v>
      </c>
      <c r="K7" s="51">
        <v>2</v>
      </c>
      <c r="L7" s="3">
        <v>4</v>
      </c>
      <c r="M7" s="37"/>
      <c r="N7" s="38">
        <f>SUMPRODUCT(H$6:L$6,H7:L7)/SUM(H$6:L$6)</f>
        <v>3.5</v>
      </c>
      <c r="O7" s="38" t="str">
        <f>IF(N7&lt;=1,"Bajo - Activo de información",IF(N7&lt;=1.94,"Medio - Servicio No escencial",IF(N7&lt;=2.94,"Alto - Servicio Escencial",IF(N7&lt;=4,"Crítico -ICC"))))</f>
        <v>Crítico -ICC</v>
      </c>
    </row>
    <row r="8" spans="1:15" ht="22" customHeight="1" x14ac:dyDescent="0.2">
      <c r="A8" s="5" t="s">
        <v>82</v>
      </c>
      <c r="B8" s="4" t="s">
        <v>83</v>
      </c>
      <c r="C8" s="4" t="s">
        <v>87</v>
      </c>
      <c r="D8" s="47" t="str">
        <f>+PRIOSIS!B19</f>
        <v>SIOPER</v>
      </c>
      <c r="E8" s="4" t="s">
        <v>88</v>
      </c>
      <c r="F8" s="100" t="s">
        <v>89</v>
      </c>
      <c r="G8" s="117"/>
      <c r="H8" s="97">
        <v>2</v>
      </c>
      <c r="I8" s="103">
        <v>4</v>
      </c>
      <c r="J8" s="3">
        <v>4</v>
      </c>
      <c r="K8" s="51">
        <v>4</v>
      </c>
      <c r="L8" s="3">
        <v>4</v>
      </c>
      <c r="M8" s="37"/>
      <c r="N8" s="38">
        <f t="shared" ref="N8:N21" si="0">SUMPRODUCT(H$6:L$6,H8:L8)/SUM(H$6:L$6)</f>
        <v>3.8</v>
      </c>
      <c r="O8" s="38" t="str">
        <f>IF(N8&lt;=1,"Bajo - Activo de información",IF(N8&lt;=1.94,"Medio - Servicio No escencial",IF(N8&lt;=2.94,"Alto - Servicio Escencial",IF(N8&lt;=4,"Crítico -ICC"))))</f>
        <v>Crítico -ICC</v>
      </c>
    </row>
    <row r="9" spans="1:15" ht="29" customHeight="1" x14ac:dyDescent="0.2">
      <c r="A9" s="5" t="s">
        <v>90</v>
      </c>
      <c r="B9" s="4" t="s">
        <v>83</v>
      </c>
      <c r="C9" s="4" t="s">
        <v>91</v>
      </c>
      <c r="D9" s="47" t="s">
        <v>29</v>
      </c>
      <c r="E9" s="4" t="s">
        <v>85</v>
      </c>
      <c r="F9" s="100" t="s">
        <v>89</v>
      </c>
      <c r="G9" s="117"/>
      <c r="H9" s="97">
        <v>3</v>
      </c>
      <c r="I9" s="103">
        <v>1</v>
      </c>
      <c r="J9" s="3">
        <v>2</v>
      </c>
      <c r="K9" s="51">
        <v>1</v>
      </c>
      <c r="L9" s="3">
        <v>1</v>
      </c>
      <c r="M9" s="37"/>
      <c r="N9" s="110">
        <f t="shared" si="0"/>
        <v>1.35</v>
      </c>
      <c r="O9" s="38" t="str">
        <f>IF(N9&lt;=1,"Bajo - Activo de información",IF(N9&lt;=1.94,"Medio - Servicio No escencial",IF(N9&lt;=2.94,"Alto - Servicio Escencial",IF(N9&lt;=4,"Crítico -ICC"))))</f>
        <v>Medio - Servicio No escencial</v>
      </c>
    </row>
    <row r="10" spans="1:15" ht="29" customHeight="1" x14ac:dyDescent="0.2">
      <c r="A10" s="5" t="s">
        <v>90</v>
      </c>
      <c r="B10" s="4" t="s">
        <v>83</v>
      </c>
      <c r="C10" s="4" t="s">
        <v>87</v>
      </c>
      <c r="D10" s="47" t="s">
        <v>29</v>
      </c>
      <c r="E10" s="4" t="s">
        <v>85</v>
      </c>
      <c r="F10" s="100" t="s">
        <v>86</v>
      </c>
      <c r="G10" s="117"/>
      <c r="H10" s="97">
        <v>3</v>
      </c>
      <c r="I10" s="103">
        <v>1</v>
      </c>
      <c r="J10" s="3">
        <v>2</v>
      </c>
      <c r="K10" s="51">
        <v>1</v>
      </c>
      <c r="L10" s="3">
        <v>3</v>
      </c>
      <c r="M10" s="37"/>
      <c r="N10" s="110">
        <f t="shared" si="0"/>
        <v>2.15</v>
      </c>
      <c r="O10" s="38" t="str">
        <f t="shared" ref="O10:O21" si="1">IF(N10&lt;=1,"Bajo - Activo de información",IF(N10&lt;=1.94,"Medio - Servicio No escencial",IF(N10&lt;=2.94,"Alto - Servicio Escencial",IF(N10&lt;=4,"Crítico -ICC"))))</f>
        <v>Alto - Servicio Escencial</v>
      </c>
    </row>
    <row r="11" spans="1:15" ht="29" customHeight="1" x14ac:dyDescent="0.2">
      <c r="A11" s="5" t="s">
        <v>90</v>
      </c>
      <c r="B11" s="4" t="s">
        <v>83</v>
      </c>
      <c r="C11" s="4" t="s">
        <v>92</v>
      </c>
      <c r="D11" s="47" t="s">
        <v>29</v>
      </c>
      <c r="E11" s="4" t="s">
        <v>93</v>
      </c>
      <c r="F11" s="100" t="s">
        <v>94</v>
      </c>
      <c r="G11" s="117"/>
      <c r="H11" s="97">
        <v>3</v>
      </c>
      <c r="I11" s="103">
        <v>1</v>
      </c>
      <c r="J11" s="3">
        <v>2</v>
      </c>
      <c r="K11" s="51">
        <v>1</v>
      </c>
      <c r="L11" s="3">
        <v>1</v>
      </c>
      <c r="M11" s="37"/>
      <c r="N11" s="110">
        <f t="shared" si="0"/>
        <v>1.35</v>
      </c>
      <c r="O11" s="38" t="str">
        <f t="shared" si="1"/>
        <v>Medio - Servicio No escencial</v>
      </c>
    </row>
    <row r="12" spans="1:15" ht="29" customHeight="1" x14ac:dyDescent="0.2">
      <c r="A12" s="5" t="s">
        <v>95</v>
      </c>
      <c r="B12" s="4" t="s">
        <v>83</v>
      </c>
      <c r="C12" s="4" t="s">
        <v>87</v>
      </c>
      <c r="D12" s="47" t="s">
        <v>24</v>
      </c>
      <c r="E12" s="4" t="s">
        <v>88</v>
      </c>
      <c r="F12" s="100" t="s">
        <v>89</v>
      </c>
      <c r="G12" s="117"/>
      <c r="H12" s="97">
        <v>3</v>
      </c>
      <c r="I12" s="103">
        <v>1</v>
      </c>
      <c r="J12" s="3">
        <v>2</v>
      </c>
      <c r="K12" s="51">
        <v>1</v>
      </c>
      <c r="L12" s="3">
        <v>1</v>
      </c>
      <c r="M12" s="37"/>
      <c r="N12" s="110">
        <f t="shared" si="0"/>
        <v>1.35</v>
      </c>
      <c r="O12" s="38" t="str">
        <f t="shared" si="1"/>
        <v>Medio - Servicio No escencial</v>
      </c>
    </row>
    <row r="13" spans="1:15" ht="29" customHeight="1" x14ac:dyDescent="0.2">
      <c r="A13" s="5" t="s">
        <v>95</v>
      </c>
      <c r="B13" s="4" t="s">
        <v>96</v>
      </c>
      <c r="C13" s="4" t="s">
        <v>97</v>
      </c>
      <c r="D13" s="47" t="s">
        <v>24</v>
      </c>
      <c r="E13" s="4" t="s">
        <v>88</v>
      </c>
      <c r="F13" s="100" t="s">
        <v>98</v>
      </c>
      <c r="G13" s="117"/>
      <c r="H13" s="97">
        <v>3</v>
      </c>
      <c r="I13" s="103">
        <v>3</v>
      </c>
      <c r="J13" s="3">
        <v>3</v>
      </c>
      <c r="K13" s="51">
        <v>1</v>
      </c>
      <c r="L13" s="3">
        <v>1</v>
      </c>
      <c r="M13" s="37"/>
      <c r="N13" s="110">
        <f t="shared" si="0"/>
        <v>1.9</v>
      </c>
      <c r="O13" s="38" t="str">
        <f t="shared" si="1"/>
        <v>Medio - Servicio No escencial</v>
      </c>
    </row>
    <row r="14" spans="1:15" ht="29" customHeight="1" x14ac:dyDescent="0.2">
      <c r="A14" s="5" t="s">
        <v>95</v>
      </c>
      <c r="B14" s="4" t="s">
        <v>96</v>
      </c>
      <c r="C14" s="4" t="s">
        <v>99</v>
      </c>
      <c r="D14" s="47" t="s">
        <v>24</v>
      </c>
      <c r="E14" s="4" t="s">
        <v>88</v>
      </c>
      <c r="F14" s="100" t="s">
        <v>100</v>
      </c>
      <c r="G14" s="117"/>
      <c r="H14" s="97">
        <v>3</v>
      </c>
      <c r="I14" s="103">
        <v>1</v>
      </c>
      <c r="J14" s="3">
        <v>2</v>
      </c>
      <c r="K14" s="51">
        <v>1</v>
      </c>
      <c r="L14" s="3">
        <v>1</v>
      </c>
      <c r="M14" s="37"/>
      <c r="N14" s="110">
        <f t="shared" si="0"/>
        <v>1.35</v>
      </c>
      <c r="O14" s="38" t="str">
        <f t="shared" si="1"/>
        <v>Medio - Servicio No escencial</v>
      </c>
    </row>
    <row r="15" spans="1:15" ht="29" customHeight="1" x14ac:dyDescent="0.2">
      <c r="A15" s="5"/>
      <c r="B15" s="68"/>
      <c r="C15" s="68"/>
      <c r="D15" s="47"/>
      <c r="E15" s="68"/>
      <c r="F15" s="101"/>
      <c r="G15" s="118"/>
      <c r="H15" s="98"/>
      <c r="I15" s="104"/>
      <c r="J15" s="70"/>
      <c r="K15" s="71"/>
      <c r="L15" s="70"/>
      <c r="M15" s="37"/>
      <c r="N15" s="110">
        <f t="shared" si="0"/>
        <v>0</v>
      </c>
      <c r="O15" s="38" t="str">
        <f t="shared" si="1"/>
        <v>Bajo - Activo de información</v>
      </c>
    </row>
    <row r="16" spans="1:15" ht="29" customHeight="1" x14ac:dyDescent="0.2">
      <c r="A16" s="5"/>
      <c r="B16" s="68"/>
      <c r="C16" s="68"/>
      <c r="D16" s="69"/>
      <c r="E16" s="68"/>
      <c r="F16" s="101"/>
      <c r="G16" s="118"/>
      <c r="H16" s="98"/>
      <c r="I16" s="104"/>
      <c r="J16" s="70"/>
      <c r="K16" s="71"/>
      <c r="L16" s="70"/>
      <c r="M16" s="37"/>
      <c r="N16" s="110">
        <f t="shared" si="0"/>
        <v>0</v>
      </c>
      <c r="O16" s="38" t="str">
        <f t="shared" si="1"/>
        <v>Bajo - Activo de información</v>
      </c>
    </row>
    <row r="17" spans="1:15" ht="29" customHeight="1" x14ac:dyDescent="0.2">
      <c r="A17" s="5"/>
      <c r="B17" s="68"/>
      <c r="C17" s="68"/>
      <c r="D17" s="69"/>
      <c r="E17" s="68"/>
      <c r="F17" s="101"/>
      <c r="G17" s="118"/>
      <c r="H17" s="98"/>
      <c r="I17" s="104"/>
      <c r="J17" s="70"/>
      <c r="K17" s="71"/>
      <c r="L17" s="70"/>
      <c r="M17" s="37"/>
      <c r="N17" s="110"/>
      <c r="O17" s="38" t="str">
        <f t="shared" si="1"/>
        <v>Bajo - Activo de información</v>
      </c>
    </row>
    <row r="18" spans="1:15" ht="29" customHeight="1" x14ac:dyDescent="0.2">
      <c r="A18" s="5"/>
      <c r="B18" s="68"/>
      <c r="C18" s="68"/>
      <c r="D18" s="69"/>
      <c r="E18" s="68"/>
      <c r="F18" s="101"/>
      <c r="G18" s="118"/>
      <c r="H18" s="98"/>
      <c r="I18" s="104"/>
      <c r="J18" s="70"/>
      <c r="K18" s="71"/>
      <c r="L18" s="70"/>
      <c r="M18" s="37"/>
      <c r="N18" s="110">
        <f t="shared" si="0"/>
        <v>0</v>
      </c>
      <c r="O18" s="38" t="str">
        <f t="shared" si="1"/>
        <v>Bajo - Activo de información</v>
      </c>
    </row>
    <row r="19" spans="1:15" ht="29" customHeight="1" x14ac:dyDescent="0.2">
      <c r="A19" s="5"/>
      <c r="B19" s="68"/>
      <c r="C19" s="68"/>
      <c r="D19" s="69"/>
      <c r="E19" s="68"/>
      <c r="F19" s="101"/>
      <c r="G19" s="119"/>
      <c r="H19" s="98"/>
      <c r="I19" s="104"/>
      <c r="J19" s="70"/>
      <c r="K19" s="71"/>
      <c r="L19" s="70"/>
      <c r="N19" s="110">
        <f t="shared" si="0"/>
        <v>0</v>
      </c>
      <c r="O19" s="38" t="str">
        <f t="shared" si="1"/>
        <v>Bajo - Activo de información</v>
      </c>
    </row>
    <row r="20" spans="1:15" ht="29" customHeight="1" x14ac:dyDescent="0.2">
      <c r="A20" s="5"/>
      <c r="B20" s="68"/>
      <c r="C20" s="68"/>
      <c r="D20" s="69"/>
      <c r="E20" s="68"/>
      <c r="F20" s="101"/>
      <c r="G20" s="119"/>
      <c r="H20" s="98"/>
      <c r="I20" s="104"/>
      <c r="J20" s="70"/>
      <c r="K20" s="71"/>
      <c r="L20" s="70"/>
      <c r="N20" s="110">
        <f t="shared" si="0"/>
        <v>0</v>
      </c>
      <c r="O20" s="38" t="str">
        <f t="shared" si="1"/>
        <v>Bajo - Activo de información</v>
      </c>
    </row>
    <row r="21" spans="1:15" ht="29" customHeight="1" x14ac:dyDescent="0.2">
      <c r="A21" s="5"/>
      <c r="B21" s="68"/>
      <c r="C21" s="68"/>
      <c r="D21" s="69"/>
      <c r="E21" s="68"/>
      <c r="F21" s="101"/>
      <c r="G21" s="119"/>
      <c r="H21" s="98"/>
      <c r="I21" s="104"/>
      <c r="J21" s="70"/>
      <c r="K21" s="71"/>
      <c r="L21" s="70"/>
      <c r="N21" s="110">
        <f t="shared" si="0"/>
        <v>0</v>
      </c>
      <c r="O21" s="38" t="str">
        <f t="shared" si="1"/>
        <v>Bajo - Activo de información</v>
      </c>
    </row>
    <row r="22" spans="1:15" ht="32.25" customHeight="1" x14ac:dyDescent="0.2"/>
  </sheetData>
  <customSheetViews>
    <customSheetView guid="{A89CAC3F-7992-424B-A3A7-329E1D522008}" scale="53" fitToPage="1" topLeftCell="A10">
      <selection activeCell="B16" sqref="B16"/>
      <pageMargins left="0" right="0" top="0" bottom="0" header="0" footer="0"/>
      <pageSetup scale="47" fitToHeight="0" orientation="landscape" r:id="rId1"/>
    </customSheetView>
  </customSheetViews>
  <mergeCells count="13">
    <mergeCell ref="O5:O6"/>
    <mergeCell ref="N5:N6"/>
    <mergeCell ref="B4:M4"/>
    <mergeCell ref="A1:M1"/>
    <mergeCell ref="A5:A6"/>
    <mergeCell ref="B5:B6"/>
    <mergeCell ref="C5:C6"/>
    <mergeCell ref="D5:D6"/>
    <mergeCell ref="E5:E6"/>
    <mergeCell ref="F5:F6"/>
    <mergeCell ref="B2:K2"/>
    <mergeCell ref="L2:N2"/>
    <mergeCell ref="B3:C3"/>
  </mergeCells>
  <conditionalFormatting sqref="N7:N21">
    <cfRule type="cellIs" dxfId="47" priority="6" operator="lessThanOrEqual">
      <formula>1</formula>
    </cfRule>
    <cfRule type="cellIs" dxfId="46" priority="19" operator="lessThanOrEqual">
      <formula>1</formula>
    </cfRule>
    <cfRule type="cellIs" dxfId="45" priority="20" operator="between">
      <formula>1.95</formula>
      <formula>2.44</formula>
    </cfRule>
    <cfRule type="cellIs" dxfId="44" priority="21" operator="greaterThan">
      <formula>2.45</formula>
    </cfRule>
    <cfRule type="cellIs" dxfId="43" priority="22" operator="between">
      <formula>1.1</formula>
      <formula>1.94</formula>
    </cfRule>
  </conditionalFormatting>
  <conditionalFormatting sqref="O7:O21">
    <cfRule type="containsText" dxfId="42" priority="4" operator="containsText" text="Bajo - Activo de información">
      <formula>NOT(ISERROR(SEARCH("Bajo - Activo de información",O7)))</formula>
    </cfRule>
  </conditionalFormatting>
  <conditionalFormatting sqref="O7:O21">
    <cfRule type="containsText" dxfId="41" priority="3" operator="containsText" text="Medio - Servicio No escencial">
      <formula>NOT(ISERROR(SEARCH("Medio - Servicio No escencial",O7)))</formula>
    </cfRule>
  </conditionalFormatting>
  <conditionalFormatting sqref="O7:O21">
    <cfRule type="containsText" dxfId="40" priority="2" operator="containsText" text="Alto - Servicio Escencial">
      <formula>NOT(ISERROR(SEARCH("Alto - Servicio Escencial",O7)))</formula>
    </cfRule>
  </conditionalFormatting>
  <conditionalFormatting sqref="O7:O21">
    <cfRule type="containsText" dxfId="39" priority="1" operator="containsText" text="Crítico -ICC">
      <formula>NOT(ISERROR(SEARCH("Crítico -ICC",O7)))</formula>
    </cfRule>
  </conditionalFormatting>
  <dataValidations count="2">
    <dataValidation type="list" allowBlank="1" showInputMessage="1" showErrorMessage="1" sqref="F7:F8 C7:C21">
      <formula1>INDIRECT(B7)</formula1>
    </dataValidation>
    <dataValidation type="list" errorStyle="warning" allowBlank="1" showInputMessage="1" showErrorMessage="1" errorTitle="Tipo Incidente no Valido" error="El escenario y el riesgo no son compatibles" sqref="F9:F21">
      <formula1>INDIRECT(E9)</formula1>
    </dataValidation>
  </dataValidations>
  <pageMargins left="0.7" right="0.7" top="0.75" bottom="0.75" header="0.3" footer="0.3"/>
  <pageSetup scale="47" fitToHeight="0" orientation="landscape"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14:formula1>
            <xm:f>LISTAS!#REF!</xm:f>
          </x14:formula1>
          <xm:sqref>G23:G623 F22:F623</xm:sqref>
        </x14:dataValidation>
        <x14:dataValidation type="list" allowBlank="1" showInputMessage="1" showErrorMessage="1">
          <x14:formula1>
            <xm:f>LISTAS!$A$1:$D$1</xm:f>
          </x14:formula1>
          <xm:sqref>E7:E21</xm:sqref>
        </x14:dataValidation>
        <x14:dataValidation type="list" allowBlank="1" showInputMessage="1" showErrorMessage="1">
          <x14:formula1>
            <xm:f>LISTAS!$H$2:$K$2</xm:f>
          </x14:formula1>
          <xm:sqref>B7:B21</xm:sqref>
        </x14:dataValidation>
        <x14:dataValidation type="list" allowBlank="1" showInputMessage="1" showErrorMessage="1">
          <x14:formula1>
            <xm:f>LISTAS!$M$2:$M$22</xm:f>
          </x14:formula1>
          <xm:sqref>A7:A21</xm:sqref>
        </x14:dataValidation>
        <x14:dataValidation type="list" allowBlank="1" showInputMessage="1" showErrorMessage="1">
          <x14:formula1>
            <xm:f>LISTAS!$H$31:$H$44</xm:f>
          </x14:formula1>
          <xm:sqref>B3 D3:K3</xm:sqref>
        </x14:dataValidation>
        <x14:dataValidation type="list" allowBlank="1" showInputMessage="1" showErrorMessage="1">
          <x14:formula1>
            <xm:f>LISTAS!$E$3:$E$8</xm:f>
          </x14:formula1>
          <xm:sqref>G7:G22 H7:L511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dimension ref="A1:M44"/>
  <sheetViews>
    <sheetView topLeftCell="K7" zoomScale="109" zoomScaleNormal="53" zoomScalePageLayoutView="53" workbookViewId="0">
      <selection activeCell="H3" sqref="H3"/>
    </sheetView>
  </sheetViews>
  <sheetFormatPr baseColWidth="10" defaultColWidth="11.5" defaultRowHeight="15" x14ac:dyDescent="0.2"/>
  <cols>
    <col min="1" max="3" width="35.6640625" style="11" customWidth="1"/>
    <col min="4" max="4" width="31.33203125" style="6" customWidth="1"/>
    <col min="5" max="6" width="11.5" style="6"/>
    <col min="7" max="7" width="52.5" style="6" customWidth="1"/>
    <col min="8" max="8" width="32.33203125" style="6" customWidth="1"/>
    <col min="9" max="9" width="39.33203125" style="11" customWidth="1"/>
    <col min="10" max="10" width="33.1640625" style="6" customWidth="1"/>
    <col min="11" max="11" width="42.33203125" style="6" customWidth="1"/>
    <col min="12" max="12" width="11.5" style="6"/>
    <col min="13" max="13" width="87.1640625" style="6" customWidth="1"/>
    <col min="14" max="16384" width="11.5" style="6"/>
  </cols>
  <sheetData>
    <row r="1" spans="1:13" x14ac:dyDescent="0.2">
      <c r="A1" s="8" t="s">
        <v>85</v>
      </c>
      <c r="B1" s="8" t="s">
        <v>88</v>
      </c>
      <c r="C1" s="8" t="s">
        <v>93</v>
      </c>
      <c r="D1" s="8" t="s">
        <v>101</v>
      </c>
      <c r="G1" s="6" t="s">
        <v>102</v>
      </c>
      <c r="H1" s="18"/>
      <c r="I1" s="12"/>
      <c r="J1" s="13"/>
      <c r="K1" s="13"/>
      <c r="M1" s="92" t="s">
        <v>103</v>
      </c>
    </row>
    <row r="2" spans="1:13" s="7" customFormat="1" ht="101" customHeight="1" x14ac:dyDescent="0.2">
      <c r="A2" s="9" t="s">
        <v>104</v>
      </c>
      <c r="B2" s="9" t="s">
        <v>105</v>
      </c>
      <c r="C2" s="9" t="s">
        <v>106</v>
      </c>
      <c r="D2" s="9" t="s">
        <v>107</v>
      </c>
      <c r="H2" s="24" t="s">
        <v>108</v>
      </c>
      <c r="I2" s="23" t="s">
        <v>109</v>
      </c>
      <c r="J2" s="21" t="s">
        <v>83</v>
      </c>
      <c r="K2" s="21" t="s">
        <v>96</v>
      </c>
      <c r="M2" s="89" t="s">
        <v>110</v>
      </c>
    </row>
    <row r="3" spans="1:13" s="7" customFormat="1" ht="106.25" customHeight="1" x14ac:dyDescent="0.15">
      <c r="A3" s="9" t="s">
        <v>111</v>
      </c>
      <c r="B3" s="9" t="s">
        <v>112</v>
      </c>
      <c r="C3" s="9" t="s">
        <v>113</v>
      </c>
      <c r="D3" s="9" t="s">
        <v>114</v>
      </c>
      <c r="G3" s="7" t="s">
        <v>39</v>
      </c>
      <c r="H3" s="20" t="s">
        <v>115</v>
      </c>
      <c r="I3" s="25" t="s">
        <v>116</v>
      </c>
      <c r="J3" s="28" t="s">
        <v>117</v>
      </c>
      <c r="K3" s="28" t="s">
        <v>118</v>
      </c>
      <c r="M3" s="89" t="s">
        <v>119</v>
      </c>
    </row>
    <row r="4" spans="1:13" s="7" customFormat="1" ht="158.5" customHeight="1" x14ac:dyDescent="0.15">
      <c r="A4" s="9" t="s">
        <v>120</v>
      </c>
      <c r="B4" s="9" t="s">
        <v>121</v>
      </c>
      <c r="C4" s="9" t="s">
        <v>122</v>
      </c>
      <c r="D4" s="9" t="s">
        <v>123</v>
      </c>
      <c r="E4" s="7">
        <v>1</v>
      </c>
      <c r="G4" s="7" t="s">
        <v>40</v>
      </c>
      <c r="H4" s="20" t="s">
        <v>124</v>
      </c>
      <c r="I4" s="25" t="s">
        <v>125</v>
      </c>
      <c r="J4" s="28" t="s">
        <v>126</v>
      </c>
      <c r="K4" s="28" t="s">
        <v>127</v>
      </c>
      <c r="M4" s="89" t="s">
        <v>128</v>
      </c>
    </row>
    <row r="5" spans="1:13" s="7" customFormat="1" ht="115.25" customHeight="1" x14ac:dyDescent="0.15">
      <c r="A5" s="9" t="s">
        <v>129</v>
      </c>
      <c r="B5" s="9" t="s">
        <v>130</v>
      </c>
      <c r="C5" s="9" t="s">
        <v>131</v>
      </c>
      <c r="D5" s="9" t="s">
        <v>132</v>
      </c>
      <c r="E5" s="7">
        <v>2</v>
      </c>
      <c r="G5" s="7" t="s">
        <v>41</v>
      </c>
      <c r="H5" s="20" t="s">
        <v>133</v>
      </c>
      <c r="I5" s="25" t="s">
        <v>134</v>
      </c>
      <c r="J5" s="28" t="s">
        <v>135</v>
      </c>
      <c r="K5" s="28" t="s">
        <v>136</v>
      </c>
      <c r="M5" s="89" t="s">
        <v>137</v>
      </c>
    </row>
    <row r="6" spans="1:13" s="7" customFormat="1" ht="144" customHeight="1" x14ac:dyDescent="0.15">
      <c r="A6" s="9" t="s">
        <v>138</v>
      </c>
      <c r="B6" s="9" t="s">
        <v>139</v>
      </c>
      <c r="C6" s="9" t="s">
        <v>140</v>
      </c>
      <c r="D6" s="9" t="s">
        <v>141</v>
      </c>
      <c r="E6" s="7">
        <v>3</v>
      </c>
      <c r="G6" s="7" t="s">
        <v>42</v>
      </c>
      <c r="H6" s="20" t="s">
        <v>142</v>
      </c>
      <c r="I6" s="25" t="s">
        <v>143</v>
      </c>
      <c r="J6" s="28" t="s">
        <v>144</v>
      </c>
      <c r="K6" s="28" t="s">
        <v>145</v>
      </c>
      <c r="M6" s="89" t="s">
        <v>146</v>
      </c>
    </row>
    <row r="7" spans="1:13" s="7" customFormat="1" ht="101" customHeight="1" x14ac:dyDescent="0.15">
      <c r="A7" s="9" t="s">
        <v>147</v>
      </c>
      <c r="B7" s="9" t="s">
        <v>148</v>
      </c>
      <c r="C7" s="9" t="s">
        <v>149</v>
      </c>
      <c r="E7" s="7">
        <v>4</v>
      </c>
      <c r="G7" s="7" t="s">
        <v>43</v>
      </c>
      <c r="H7" s="20" t="s">
        <v>150</v>
      </c>
      <c r="I7" s="25" t="s">
        <v>151</v>
      </c>
      <c r="J7" s="28" t="s">
        <v>152</v>
      </c>
      <c r="K7" s="28" t="s">
        <v>153</v>
      </c>
      <c r="M7" s="89" t="s">
        <v>154</v>
      </c>
    </row>
    <row r="8" spans="1:13" s="7" customFormat="1" ht="86.5" customHeight="1" x14ac:dyDescent="0.15">
      <c r="A8" s="9" t="s">
        <v>155</v>
      </c>
      <c r="B8" s="9" t="s">
        <v>156</v>
      </c>
      <c r="C8" s="9" t="s">
        <v>157</v>
      </c>
      <c r="G8" s="7" t="s">
        <v>44</v>
      </c>
      <c r="H8" s="20" t="s">
        <v>158</v>
      </c>
      <c r="I8" s="25" t="s">
        <v>159</v>
      </c>
      <c r="J8" s="28" t="s">
        <v>160</v>
      </c>
      <c r="K8" s="28" t="s">
        <v>161</v>
      </c>
      <c r="M8" s="89" t="s">
        <v>162</v>
      </c>
    </row>
    <row r="9" spans="1:13" s="7" customFormat="1" ht="101" customHeight="1" x14ac:dyDescent="0.15">
      <c r="A9" s="9" t="s">
        <v>163</v>
      </c>
      <c r="B9" s="9" t="s">
        <v>164</v>
      </c>
      <c r="C9" s="9" t="s">
        <v>165</v>
      </c>
      <c r="G9" s="7" t="s">
        <v>45</v>
      </c>
      <c r="H9" s="20" t="s">
        <v>166</v>
      </c>
      <c r="I9" s="25" t="s">
        <v>167</v>
      </c>
      <c r="J9" s="28" t="s">
        <v>168</v>
      </c>
      <c r="K9" s="28" t="s">
        <v>169</v>
      </c>
      <c r="M9" s="90" t="s">
        <v>170</v>
      </c>
    </row>
    <row r="10" spans="1:13" s="7" customFormat="1" ht="86.5" customHeight="1" x14ac:dyDescent="0.15">
      <c r="A10" s="9" t="s">
        <v>171</v>
      </c>
      <c r="B10" s="9" t="s">
        <v>172</v>
      </c>
      <c r="C10" s="9" t="s">
        <v>173</v>
      </c>
      <c r="G10" s="7" t="s">
        <v>46</v>
      </c>
      <c r="H10" s="22" t="s">
        <v>174</v>
      </c>
      <c r="I10" s="25" t="s">
        <v>175</v>
      </c>
      <c r="J10" s="28" t="s">
        <v>176</v>
      </c>
      <c r="K10" s="28" t="s">
        <v>177</v>
      </c>
      <c r="M10" s="89" t="s">
        <v>82</v>
      </c>
    </row>
    <row r="11" spans="1:13" s="7" customFormat="1" ht="46.5" customHeight="1" x14ac:dyDescent="0.15">
      <c r="A11" s="9" t="s">
        <v>178</v>
      </c>
      <c r="B11" s="9" t="s">
        <v>179</v>
      </c>
      <c r="C11" s="10"/>
      <c r="G11" s="7" t="s">
        <v>47</v>
      </c>
      <c r="H11" s="14"/>
      <c r="I11" s="26" t="s">
        <v>180</v>
      </c>
      <c r="J11" s="28" t="s">
        <v>181</v>
      </c>
      <c r="K11" s="28" t="s">
        <v>182</v>
      </c>
      <c r="M11" s="90" t="s">
        <v>95</v>
      </c>
    </row>
    <row r="12" spans="1:13" s="7" customFormat="1" ht="30" x14ac:dyDescent="0.15">
      <c r="A12" s="9" t="s">
        <v>183</v>
      </c>
      <c r="B12" s="9" t="s">
        <v>184</v>
      </c>
      <c r="C12" s="10"/>
      <c r="G12" s="7" t="s">
        <v>48</v>
      </c>
      <c r="H12" s="14"/>
      <c r="I12" s="27"/>
      <c r="J12" s="28" t="s">
        <v>185</v>
      </c>
      <c r="K12" s="28" t="s">
        <v>186</v>
      </c>
      <c r="M12" s="91" t="s">
        <v>187</v>
      </c>
    </row>
    <row r="13" spans="1:13" s="7" customFormat="1" ht="30" x14ac:dyDescent="0.15">
      <c r="A13" s="9" t="s">
        <v>188</v>
      </c>
      <c r="B13" s="9" t="s">
        <v>189</v>
      </c>
      <c r="C13" s="10"/>
      <c r="G13" s="7" t="s">
        <v>49</v>
      </c>
      <c r="H13" s="19"/>
      <c r="I13" s="16"/>
      <c r="J13" s="28" t="s">
        <v>190</v>
      </c>
      <c r="K13" s="28" t="s">
        <v>191</v>
      </c>
      <c r="M13" s="89" t="s">
        <v>90</v>
      </c>
    </row>
    <row r="14" spans="1:13" s="7" customFormat="1" ht="45" x14ac:dyDescent="0.15">
      <c r="A14" s="9" t="s">
        <v>192</v>
      </c>
      <c r="B14" s="9" t="s">
        <v>193</v>
      </c>
      <c r="C14" s="10"/>
      <c r="G14" s="7" t="s">
        <v>50</v>
      </c>
      <c r="H14" s="19"/>
      <c r="I14" s="16"/>
      <c r="J14" s="28" t="s">
        <v>194</v>
      </c>
      <c r="K14" s="28" t="s">
        <v>195</v>
      </c>
      <c r="M14" s="89" t="s">
        <v>196</v>
      </c>
    </row>
    <row r="15" spans="1:13" s="7" customFormat="1" ht="60" x14ac:dyDescent="0.15">
      <c r="A15" s="9" t="s">
        <v>197</v>
      </c>
      <c r="B15" s="9" t="s">
        <v>198</v>
      </c>
      <c r="C15" s="10"/>
      <c r="G15" s="7" t="s">
        <v>51</v>
      </c>
      <c r="H15" s="19"/>
      <c r="I15" s="16"/>
      <c r="J15" s="28" t="s">
        <v>199</v>
      </c>
      <c r="K15" s="29" t="s">
        <v>200</v>
      </c>
      <c r="M15" s="89" t="s">
        <v>201</v>
      </c>
    </row>
    <row r="16" spans="1:13" s="7" customFormat="1" ht="50.5" customHeight="1" x14ac:dyDescent="0.15">
      <c r="A16" s="9" t="s">
        <v>202</v>
      </c>
      <c r="B16" s="9" t="s">
        <v>203</v>
      </c>
      <c r="C16" s="10"/>
      <c r="H16" s="19"/>
      <c r="I16" s="16"/>
      <c r="J16" s="28" t="s">
        <v>204</v>
      </c>
      <c r="K16" s="15"/>
      <c r="M16" s="89" t="s">
        <v>205</v>
      </c>
    </row>
    <row r="17" spans="1:13" s="7" customFormat="1" ht="45" x14ac:dyDescent="0.15">
      <c r="A17" s="9" t="s">
        <v>206</v>
      </c>
      <c r="B17" s="9" t="s">
        <v>207</v>
      </c>
      <c r="C17" s="10"/>
      <c r="H17" s="19"/>
      <c r="I17" s="16"/>
      <c r="J17" s="28" t="s">
        <v>208</v>
      </c>
      <c r="K17" s="15"/>
      <c r="M17" s="89" t="s">
        <v>209</v>
      </c>
    </row>
    <row r="18" spans="1:13" s="7" customFormat="1" ht="45" x14ac:dyDescent="0.15">
      <c r="A18" s="9" t="s">
        <v>210</v>
      </c>
      <c r="B18" s="9" t="s">
        <v>211</v>
      </c>
      <c r="C18" s="10"/>
      <c r="H18" s="19"/>
      <c r="I18" s="16"/>
      <c r="J18" s="28" t="s">
        <v>212</v>
      </c>
      <c r="K18" s="15"/>
      <c r="M18" s="91" t="s">
        <v>213</v>
      </c>
    </row>
    <row r="19" spans="1:13" s="7" customFormat="1" ht="45" x14ac:dyDescent="0.15">
      <c r="A19" s="9" t="s">
        <v>214</v>
      </c>
      <c r="B19" s="10"/>
      <c r="C19" s="10"/>
      <c r="H19" s="19"/>
      <c r="I19" s="16"/>
      <c r="J19" s="28" t="s">
        <v>215</v>
      </c>
      <c r="K19" s="15"/>
      <c r="M19" s="89" t="s">
        <v>216</v>
      </c>
    </row>
    <row r="20" spans="1:13" s="7" customFormat="1" ht="45" x14ac:dyDescent="0.15">
      <c r="A20" s="9" t="s">
        <v>217</v>
      </c>
      <c r="B20" s="10"/>
      <c r="C20" s="10"/>
      <c r="H20" s="19"/>
      <c r="I20" s="16"/>
      <c r="J20" s="28" t="s">
        <v>218</v>
      </c>
      <c r="K20" s="15"/>
      <c r="M20" s="89" t="s">
        <v>219</v>
      </c>
    </row>
    <row r="21" spans="1:13" x14ac:dyDescent="0.2">
      <c r="H21" s="19"/>
      <c r="I21" s="12"/>
      <c r="J21" s="28" t="s">
        <v>220</v>
      </c>
      <c r="K21" s="15"/>
      <c r="M21" s="30" t="s">
        <v>221</v>
      </c>
    </row>
    <row r="22" spans="1:13" ht="42" x14ac:dyDescent="0.2">
      <c r="H22" s="18"/>
      <c r="I22" s="12"/>
      <c r="J22" s="28" t="s">
        <v>222</v>
      </c>
      <c r="K22" s="13"/>
      <c r="M22" s="30" t="s">
        <v>223</v>
      </c>
    </row>
    <row r="23" spans="1:13" ht="28" x14ac:dyDescent="0.2">
      <c r="H23" s="18"/>
      <c r="I23" s="12"/>
      <c r="J23" s="28" t="s">
        <v>224</v>
      </c>
      <c r="K23" s="13"/>
    </row>
    <row r="24" spans="1:13" ht="28" x14ac:dyDescent="0.2">
      <c r="H24" s="18"/>
      <c r="I24" s="12"/>
      <c r="J24" s="28" t="s">
        <v>225</v>
      </c>
      <c r="K24" s="13"/>
    </row>
    <row r="25" spans="1:13" ht="28" x14ac:dyDescent="0.2">
      <c r="H25" s="18"/>
      <c r="I25" s="12"/>
      <c r="J25" s="28" t="s">
        <v>226</v>
      </c>
      <c r="K25" s="13"/>
    </row>
    <row r="26" spans="1:13" ht="28" x14ac:dyDescent="0.2">
      <c r="H26" s="17"/>
      <c r="I26" s="12"/>
      <c r="J26" s="29" t="s">
        <v>227</v>
      </c>
      <c r="K26" s="13"/>
    </row>
    <row r="31" spans="1:13" x14ac:dyDescent="0.2">
      <c r="H31" s="6" t="s">
        <v>228</v>
      </c>
    </row>
    <row r="32" spans="1:13" x14ac:dyDescent="0.2">
      <c r="H32" s="6" t="s">
        <v>229</v>
      </c>
    </row>
    <row r="33" spans="8:8" x14ac:dyDescent="0.2">
      <c r="H33" s="6" t="s">
        <v>230</v>
      </c>
    </row>
    <row r="34" spans="8:8" x14ac:dyDescent="0.2">
      <c r="H34" s="6" t="s">
        <v>231</v>
      </c>
    </row>
    <row r="35" spans="8:8" x14ac:dyDescent="0.2">
      <c r="H35" s="6" t="s">
        <v>63</v>
      </c>
    </row>
    <row r="36" spans="8:8" x14ac:dyDescent="0.2">
      <c r="H36" s="6" t="s">
        <v>232</v>
      </c>
    </row>
    <row r="37" spans="8:8" x14ac:dyDescent="0.2">
      <c r="H37" s="6" t="s">
        <v>233</v>
      </c>
    </row>
    <row r="38" spans="8:8" x14ac:dyDescent="0.2">
      <c r="H38" s="6" t="s">
        <v>234</v>
      </c>
    </row>
    <row r="39" spans="8:8" x14ac:dyDescent="0.2">
      <c r="H39" s="6" t="s">
        <v>235</v>
      </c>
    </row>
    <row r="40" spans="8:8" x14ac:dyDescent="0.2">
      <c r="H40" s="6" t="s">
        <v>236</v>
      </c>
    </row>
    <row r="41" spans="8:8" x14ac:dyDescent="0.2">
      <c r="H41" s="6" t="s">
        <v>237</v>
      </c>
    </row>
    <row r="42" spans="8:8" x14ac:dyDescent="0.2">
      <c r="H42" s="6" t="s">
        <v>238</v>
      </c>
    </row>
    <row r="43" spans="8:8" x14ac:dyDescent="0.2">
      <c r="H43" s="6" t="s">
        <v>239</v>
      </c>
    </row>
    <row r="44" spans="8:8" x14ac:dyDescent="0.2">
      <c r="H44" s="6" t="s">
        <v>240</v>
      </c>
    </row>
  </sheetData>
  <sheetProtection sheet="1" objects="1" scenarios="1" formatCells="0" formatColumns="0" formatRows="0" autoFilter="0"/>
  <phoneticPr fontId="7" type="noConversion"/>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07D1A2677A101498B6630E5238509BD" ma:contentTypeVersion="16" ma:contentTypeDescription="Create a new document." ma:contentTypeScope="" ma:versionID="e136f02376285d59e0aa372d5dac9a25">
  <xsd:schema xmlns:xsd="http://www.w3.org/2001/XMLSchema" xmlns:xs="http://www.w3.org/2001/XMLSchema" xmlns:p="http://schemas.microsoft.com/office/2006/metadata/properties" xmlns:ns2="acd39186-2316-460c-9f8b-2102c75b4a45" xmlns:ns3="7fa2372c-00e8-44e6-aac1-4096babdd86c" targetNamespace="http://schemas.microsoft.com/office/2006/metadata/properties" ma:root="true" ma:fieldsID="119254e021a22d68cef8b446472771ae" ns2:_="" ns3:_="">
    <xsd:import namespace="acd39186-2316-460c-9f8b-2102c75b4a45"/>
    <xsd:import namespace="7fa2372c-00e8-44e6-aac1-4096babdd86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cd39186-2316-460c-9f8b-2102c75b4a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c427b5ec-ef2e-485d-a942-29e3b2b0a25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fa2372c-00e8-44e6-aac1-4096babdd86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3fd2abe2-222f-40d6-96dd-322fbadc9301}" ma:internalName="TaxCatchAll" ma:showField="CatchAllData" ma:web="7fa2372c-00e8-44e6-aac1-4096babdd86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cd39186-2316-460c-9f8b-2102c75b4a45">
      <Terms xmlns="http://schemas.microsoft.com/office/infopath/2007/PartnerControls"/>
    </lcf76f155ced4ddcb4097134ff3c332f>
    <TaxCatchAll xmlns="7fa2372c-00e8-44e6-aac1-4096babdd86c" xsi:nil="true"/>
  </documentManagement>
</p:properties>
</file>

<file path=customXml/itemProps1.xml><?xml version="1.0" encoding="utf-8"?>
<ds:datastoreItem xmlns:ds="http://schemas.openxmlformats.org/officeDocument/2006/customXml" ds:itemID="{6E6B4A49-67AA-4135-B0C8-D14C162902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cd39186-2316-460c-9f8b-2102c75b4a45"/>
    <ds:schemaRef ds:uri="7fa2372c-00e8-44e6-aac1-4096babdd8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666C2A-8CA7-4D07-86B2-21F7C4D224B2}">
  <ds:schemaRefs>
    <ds:schemaRef ds:uri="http://schemas.microsoft.com/sharepoint/v3/contenttype/forms"/>
  </ds:schemaRefs>
</ds:datastoreItem>
</file>

<file path=customXml/itemProps3.xml><?xml version="1.0" encoding="utf-8"?>
<ds:datastoreItem xmlns:ds="http://schemas.openxmlformats.org/officeDocument/2006/customXml" ds:itemID="{B9D423CB-9747-4C35-AA9C-23189B97B0A0}">
  <ds:schemaRefs>
    <ds:schemaRef ds:uri="http://schemas.microsoft.com/office/2006/metadata/properties"/>
    <ds:schemaRef ds:uri="http://schemas.microsoft.com/office/infopath/2007/PartnerControls"/>
    <ds:schemaRef ds:uri="acd39186-2316-460c-9f8b-2102c75b4a45"/>
    <ds:schemaRef ds:uri="7fa2372c-00e8-44e6-aac1-4096babdd86c"/>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PRIOSIS</vt:lpstr>
      <vt:lpstr>RACI</vt:lpstr>
      <vt:lpstr>Matriz ICC</vt:lpstr>
      <vt:lpstr>LISTAS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Ivonne Andrea Ramos Hendez</dc:creator>
  <cp:keywords/>
  <dc:description/>
  <cp:lastModifiedBy>Microsoft Office User</cp:lastModifiedBy>
  <cp:revision/>
  <dcterms:created xsi:type="dcterms:W3CDTF">2019-08-08T17:37:58Z</dcterms:created>
  <dcterms:modified xsi:type="dcterms:W3CDTF">2025-10-27T20:44:02Z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0x010100107D1A2677A101498B6630E5238509BD</vt:lpwstr>
  </property>
</Properties>
</file>